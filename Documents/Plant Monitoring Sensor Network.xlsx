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tables/table1.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D:\Projects\Plant Monitoring Sensor Network\Documents\"/>
    </mc:Choice>
  </mc:AlternateContent>
  <bookViews>
    <workbookView xWindow="0" yWindow="0" windowWidth="7470" windowHeight="2805" tabRatio="683"/>
  </bookViews>
  <sheets>
    <sheet name="Plant Monitoring Sensor Network" sheetId="12" r:id="rId1"/>
    <sheet name="Component List" sheetId="9" r:id="rId2"/>
    <sheet name="Additional Project Details" sheetId="10" r:id="rId3"/>
  </sheets>
  <definedNames>
    <definedName name="_xlnm.Print_Area" localSheetId="0">'Plant Monitoring Sensor Network'!$A$1:$F$92</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9" i="12" l="1"/>
  <c r="C69" i="12"/>
  <c r="E69" i="12" l="1"/>
  <c r="D27" i="12"/>
  <c r="C74" i="12" s="1"/>
  <c r="E78" i="12"/>
  <c r="B76" i="12"/>
  <c r="B75" i="12"/>
  <c r="B74" i="12"/>
  <c r="F61" i="12"/>
  <c r="F60" i="12"/>
  <c r="D43" i="12"/>
  <c r="C76" i="12" s="1"/>
  <c r="D35" i="12"/>
  <c r="C75" i="12" s="1"/>
  <c r="F62" i="12" l="1"/>
  <c r="D77" i="12" s="1"/>
  <c r="F77" i="12" s="1"/>
  <c r="D76" i="12"/>
  <c r="F76" i="12" s="1"/>
  <c r="C78" i="12"/>
  <c r="D74" i="12"/>
  <c r="D75" i="12"/>
  <c r="F75" i="12" s="1"/>
  <c r="H6" i="9"/>
  <c r="H5" i="9"/>
  <c r="H8" i="9" s="1"/>
  <c r="H4" i="9"/>
  <c r="H3" i="9"/>
  <c r="H2" i="9"/>
  <c r="D78" i="12" l="1"/>
  <c r="F74" i="12"/>
  <c r="F78" i="12" s="1"/>
</calcChain>
</file>

<file path=xl/sharedStrings.xml><?xml version="1.0" encoding="utf-8"?>
<sst xmlns="http://schemas.openxmlformats.org/spreadsheetml/2006/main" count="182" uniqueCount="149">
  <si>
    <t>Project Dashboard - Comprehensive Project Tracking System</t>
  </si>
  <si>
    <t>M. Zaeem | Electronics &amp; Embedded Systems Engineer | BSc Electrical Engineering | MSc Autonomous Systems</t>
  </si>
  <si>
    <t>1. Project Basic Information</t>
  </si>
  <si>
    <t>Project Name:</t>
  </si>
  <si>
    <t>Client Name:</t>
  </si>
  <si>
    <t>Start Date:</t>
  </si>
  <si>
    <t>Expected End Date:</t>
  </si>
  <si>
    <t>Pricing Model:</t>
  </si>
  <si>
    <t>Fixed Price</t>
  </si>
  <si>
    <t xml:space="preserve">Hourly Rate </t>
  </si>
  <si>
    <t>Hourly Rate Per Hour ($):</t>
  </si>
  <si>
    <t>Total Project Budget:</t>
  </si>
  <si>
    <t>Payment by Milestone:</t>
  </si>
  <si>
    <t>2. Project Requirements</t>
  </si>
  <si>
    <t xml:space="preserve">3. Project Milestones </t>
  </si>
  <si>
    <t>Milestone 1</t>
  </si>
  <si>
    <t>Description</t>
  </si>
  <si>
    <t>Status</t>
  </si>
  <si>
    <t>Milestone 2</t>
  </si>
  <si>
    <t>Milestone 3</t>
  </si>
  <si>
    <t>4. Key Deliverables</t>
  </si>
  <si>
    <t xml:space="preserve">Additional Requirements </t>
  </si>
  <si>
    <t xml:space="preserve"> Project End Goal and Approval Criteria</t>
  </si>
  <si>
    <t>Sensor Selection</t>
  </si>
  <si>
    <t>Hardware</t>
  </si>
  <si>
    <t>All hardware components functioning to specification
Software meets All requirements with no critical bugs
Client signs off on final deliverables</t>
  </si>
  <si>
    <t>Firmware Development</t>
  </si>
  <si>
    <t>Schematic Drawing</t>
  </si>
  <si>
    <t>PCB Layout</t>
  </si>
  <si>
    <t>Power requirements</t>
  </si>
  <si>
    <t>Gerber Files</t>
  </si>
  <si>
    <t>Bill of Materials (BOM)</t>
  </si>
  <si>
    <t>Software</t>
  </si>
  <si>
    <t>Design</t>
  </si>
  <si>
    <t>PCB Fabrication Ordering</t>
  </si>
  <si>
    <t>PCB Assembly (soldering components)</t>
  </si>
  <si>
    <t>Board Testing</t>
  </si>
  <si>
    <t>3D Enclosure Design</t>
  </si>
  <si>
    <t>Task / Milestone</t>
  </si>
  <si>
    <t>Paid ($)</t>
  </si>
  <si>
    <t>Remaining ($)</t>
  </si>
  <si>
    <t>Total Amount:</t>
  </si>
  <si>
    <t>Item / Description</t>
  </si>
  <si>
    <t>Category</t>
  </si>
  <si>
    <t>Notes</t>
  </si>
  <si>
    <t>Cost per Unit ($)</t>
  </si>
  <si>
    <t>Units</t>
  </si>
  <si>
    <t>Total ($)</t>
  </si>
  <si>
    <t>Delivery to Client</t>
  </si>
  <si>
    <t>Logistics</t>
  </si>
  <si>
    <t>Additional Expenses</t>
  </si>
  <si>
    <t>Component Name</t>
  </si>
  <si>
    <t>Description / Use</t>
  </si>
  <si>
    <t>Quantity</t>
  </si>
  <si>
    <t>Sr. No</t>
  </si>
  <si>
    <t>Not shipped is red</t>
  </si>
  <si>
    <t>Shipped is yellow</t>
  </si>
  <si>
    <t>Arrived is green</t>
  </si>
  <si>
    <t>Variant</t>
  </si>
  <si>
    <t xml:space="preserve">Aproximate Bill of Materials = </t>
  </si>
  <si>
    <t>Link to Cart</t>
  </si>
  <si>
    <t>Unit Price</t>
  </si>
  <si>
    <t>Total Price (Euro)</t>
  </si>
  <si>
    <t>LSM6DSO32 6-DOF Accelerometer Adafruit</t>
  </si>
  <si>
    <t>1528-4692-ND</t>
  </si>
  <si>
    <t>Measures acceleration and rotation.</t>
  </si>
  <si>
    <t>https://www.digikey.fi/short/0h7tf7fn</t>
  </si>
  <si>
    <t xml:space="preserve">nRF52840 Module with Antenna </t>
  </si>
  <si>
    <t>672-NINA-B306-01BCT-ND</t>
  </si>
  <si>
    <t>Bluetooth wireless module for for prototyping.</t>
  </si>
  <si>
    <t>BMP390 Precision Barometric Sensor Adafruit</t>
  </si>
  <si>
    <t>1528-4816-ND</t>
  </si>
  <si>
    <t>Measures altitude via pressure.</t>
  </si>
  <si>
    <t>Nano 33 BLE Rev2 Arduino</t>
  </si>
  <si>
    <t>1050-ABX00071-ND</t>
  </si>
  <si>
    <t>Microcontroller for prototyping.</t>
  </si>
  <si>
    <t>Seeed Studio XIAO ESP32C3</t>
  </si>
  <si>
    <t>1597-113991054-ND</t>
  </si>
  <si>
    <t>Backup Option Microcontroller for prototyping.</t>
  </si>
  <si>
    <t>Additional Project Information</t>
  </si>
  <si>
    <t xml:space="preserve">Plant Monitoring Sensor Network </t>
  </si>
  <si>
    <t>5000$</t>
  </si>
  <si>
    <t>John bambery</t>
  </si>
  <si>
    <r>
      <rPr>
        <b/>
        <sz val="11"/>
        <rFont val="Cambria"/>
        <family val="1"/>
        <scheme val="major"/>
      </rPr>
      <t>Project Requirements:</t>
    </r>
    <r>
      <rPr>
        <sz val="11"/>
        <rFont val="Cambria"/>
        <family val="1"/>
        <scheme val="major"/>
      </rPr>
      <t xml:space="preserve">
The project involves designing and building an MVP prototype of a multi-modal plant monitoring system. It includes two battery-powered, weatherproof sensor nodes integrating environmental sensors (soil moisture, temperature, humidity, light, pH, atmospheric pressure) and plant communication sensors (bioelectric potential, VOCs, IR leaf temperature, optional ultrasonic). Each node must support data collection, logging, and LoRa transmission, with firmware for sensor calibration, power management, and basic visualization.</t>
    </r>
  </si>
  <si>
    <t>Planning &amp; Initial Testing</t>
  </si>
  <si>
    <t>Final Assembly &amp; Delivery</t>
  </si>
  <si>
    <t>IP67 weatherproof enclosure</t>
  </si>
  <si>
    <t>Corrosion-resistant materials</t>
  </si>
  <si>
    <t>LED status indicators</t>
  </si>
  <si>
    <t>Outdoor mounting system and Compact modular design</t>
  </si>
  <si>
    <t>Firmware sensor integration</t>
  </si>
  <si>
    <t>Sensor calibration option</t>
  </si>
  <si>
    <t>Assembled sensor nodes</t>
  </si>
  <si>
    <t>Solar battery system</t>
  </si>
  <si>
    <t xml:space="preserve">LoRa communication or WIFI </t>
  </si>
  <si>
    <t xml:space="preserve">Hours Spent </t>
  </si>
  <si>
    <t xml:space="preserve">Milestone 1 Hours : </t>
  </si>
  <si>
    <t xml:space="preserve">Milestone 2 Hours : </t>
  </si>
  <si>
    <t xml:space="preserve">Milestone 3 Hours : </t>
  </si>
  <si>
    <t>6. Additional Expenses :</t>
  </si>
  <si>
    <t>Hourly Payments</t>
  </si>
  <si>
    <t>Rate ($/hr)</t>
  </si>
  <si>
    <t>Hours Worked</t>
  </si>
  <si>
    <t>Amount ($)</t>
  </si>
  <si>
    <t xml:space="preserve">Nil </t>
  </si>
  <si>
    <t>Complete</t>
  </si>
  <si>
    <t>Milestone 1 – System Architecture, Hardware Development &amp; Sensor Validation</t>
  </si>
  <si>
    <t>1. System Architecture Design
 • Designed the complete sensor network architecture.
 • Defined sensor roles, data flow, and communication protocol.
 • Finalized I2C-based inter-module communication.</t>
  </si>
  <si>
    <t>2. Sensor Research &amp; Finalization
 • Researched and finalized 13 plant and environmental sensors.
 • Compared suppliers including Adafruit and DFRobot.
 • Coordinated with the client for technical validation.</t>
  </si>
  <si>
    <t>3. Bill of Materials &amp; Procurement
 • Prepared BOM covering all sensors and components.
 • Verified specifications, availability, and datasheets.
 • Coordinated payment and procurement from multiple vendors.
 • Received and verified all components.</t>
  </si>
  <si>
    <t>4. Individual Sensor Testing &amp; Firmware Development
 • Built breadboard prototypes and developed offline programs for each sensor.
 • Verified sensor data outputs and stability.
 • Resolved interfacing issues using datasheets and supplier documentation.
 • Confirmed reliability of individual sensors.</t>
  </si>
  <si>
    <t>5. Mechanical Assembly &amp; Enclosure Customization
 • Designed and customized enclosures.
 • Installed connectors, push buttons, and wiring pathways.
 • Performed soldering, wire routing, and structural adjustments.
 • Created detailed wiring diagrams.</t>
  </si>
  <si>
    <t>6. Multi-Module Integration &amp; I2C Network Debugging
 • Distributed 13 sensors across multiple modules.
 • Connected modules via I2C bus and resolved communication issues.
 • Troubleshot packet loss and inter-module data errors.
 • Validated stable multi-module data transmission.</t>
  </si>
  <si>
    <t>Milestone 2-Power Optimization, Backend Development &amp; Full System Integration</t>
  </si>
  <si>
    <t>1. Multi-Module Wiring Stabilization
 • Fixed wiring inconsistencies between sensor modules.
 • Improved I2C signal reliability over long cable runs.</t>
  </si>
  <si>
    <t xml:space="preserve">2. Power Optimization &amp; Energy Management
 • Identified excessive battery drain due to high duty cycle operation.
 • Implemented deep sleep in firmware with optimized wake intervals.
 • Resolved data interruptions during deep sleep.
 • Validated stable battery-powered operation. </t>
  </si>
  <si>
    <t>6. Full System Integration Testing
 • Integrated optimized firmware with backend and frontend.
 • Resolved deep sleep communication issues.
 • Verified sensor readings and data accuracy under real environmental conditions.
 • Conducted end-to-end system testing.</t>
  </si>
  <si>
    <t>Power &amp; Connectivity (Backend and Frontend)</t>
  </si>
  <si>
    <t>3. Backend Architecture &amp; API Development
 • Designed backend system and using FastAPI.
 • Structured database schema for sensor data storage.
 • Implemented JSON-based data formatting.
 • Fixed data delivery and storage bugs.</t>
  </si>
  <si>
    <t>4. Database &amp; Data Integrity Management
 • Ensured proper logging of sensor values, device status, and timestamps.
 • Verified data persistence and consistency.</t>
  </si>
  <si>
    <t>5. Frontend Web Dashboard Development
 • Designed web dashboard for real-time monitoring.
 • Integrated frontend with backend API and database  for seamless data display.
 • Ensured accurate visualization of sensor data.</t>
  </si>
  <si>
    <t>Milestone 3- Final Assembly, Protection, Documentation &amp; Delivery</t>
  </si>
  <si>
    <t>Task Performed</t>
  </si>
  <si>
    <t>1. Final Hardware Assembly
 • Completed structured wiring and module packaging.
 • Secured connections for field stability.</t>
  </si>
  <si>
    <t xml:space="preserve">2. Waterproofing &amp; Environmental Protection
 • Applied silicone sealing and protective enclosures.
 • Ensured durability for outdoor deployment. 
 • Labeling the ports and the Modules. </t>
  </si>
  <si>
    <t>3. Final Validation &amp; Field Testing
 • Re-tested complete system after sealing.
 • Verified sensor accuracy, connectivity, and battery performance.</t>
  </si>
  <si>
    <t>4. Packaging &amp; Delivery Preparation
 • Prepared protective packaging for safe transportation.
 • Conducted final inspection of the complete system.</t>
  </si>
  <si>
    <t>5. Documentation Preparation
 • Created schematic diagrams and final BOM.
 • Developed system architecture documentation and user manual.
 • Prepared setup and operational guidelines for the client.</t>
  </si>
  <si>
    <t>6. Project Delivery
 • Delivered fully assembled, tested, and documented plant-based sensor network system via Fedex.</t>
  </si>
  <si>
    <t>8. Remaining Payments</t>
  </si>
  <si>
    <t>7. Received Payments History</t>
  </si>
  <si>
    <t>Date</t>
  </si>
  <si>
    <t>Discription</t>
  </si>
  <si>
    <t>Recived order on Fiverr</t>
  </si>
  <si>
    <t>Received 2,985 EUR for component purchasing, equivalent to 3,465.12 USD at the USD-to-EUR exchange rate of 0.86 on that day.</t>
  </si>
  <si>
    <t>Received 1,249.51 EUR toward project engineering and manufacturing costs, equivalent to 1,452.92 USD at the USD-to-EUR exchange rate of 0.86 on the date received.</t>
  </si>
  <si>
    <t>Purpose</t>
  </si>
  <si>
    <t xml:space="preserve">Fiverr Order </t>
  </si>
  <si>
    <t xml:space="preserve">Project Components and Sensors </t>
  </si>
  <si>
    <t>Engineering and Manufacturing costs</t>
  </si>
  <si>
    <t>Separate bill for sensors and purchased materials for the project, valued at 2,762 EUR, equivalent to 3,279.78 USD at the USD-to-EUR exchange rate of 1 EUR = 1.19 USD.</t>
  </si>
  <si>
    <t>I haven’t received the invoice yet for FedEx International Economy (Tracking 888703177458). I will share it once the package is delivered and my card has been charged. This is what was shown when I placed the order for delivery.</t>
  </si>
  <si>
    <t>Components, Hardware and Sensors</t>
  </si>
  <si>
    <t>Components (Adafruit, Dfrobot Digilog, Mouser electronics)</t>
  </si>
  <si>
    <t xml:space="preserve">Received Amount </t>
  </si>
  <si>
    <t xml:space="preserve">Remaining Balance: </t>
  </si>
  <si>
    <t>Remaining payable for components and delivery.</t>
  </si>
  <si>
    <t xml:space="preserve"> Amount details as mentioned in the Payment History section</t>
  </si>
  <si>
    <r>
      <t xml:space="preserve">Thank you for choosing to work with me. I truly appreciate your trust, and I did my best to bring your idea to life with precision, dedication, and transparency. With this stage complete, we will continue the Lora integration and work on one additional node. This spreadsheet provides a clear overview of project scope, progress, and costs, ensuring full visibility at every step.
</t>
    </r>
    <r>
      <rPr>
        <b/>
        <sz val="11"/>
        <color rgb="FF000000"/>
        <rFont val="Cambria"/>
        <family val="1"/>
        <scheme val="major"/>
      </rPr>
      <t xml:space="preserve">Please Note:
- </t>
    </r>
    <r>
      <rPr>
        <sz val="11"/>
        <color rgb="FF000000"/>
        <rFont val="Cambria"/>
        <family val="1"/>
        <scheme val="major"/>
      </rPr>
      <t>The document covers total project costs, including components, payments received, engineering and Mechanical work, prototype development, and delivery charges.
- The hardware is already on the way and should arrive next week.
- The remaining amount of $1,909 can be postponed until next month; a separate Upwork order can be created to process this payment or we will decide.
Warm regards,
M. Zaeem
Electronics &amp; Embedded Systems Engineer</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</si>
</sst>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quot;$&quot;#,##0.00"/>
    <numFmt numFmtId="165" formatCode="[$€-2]\ #,##0.00"/>
  </numFmts>
  <fonts count="20" x14ac:knownFonts="1">
    <font>
      <sz val="11"/>
      <color theme="1"/>
      <name val="Calibri"/>
      <family val="2"/>
      <scheme val="minor"/>
    </font>
    <font>
      <sz val="11"/>
      <color theme="1"/>
      <name val="Cambria"/>
      <family val="1"/>
    </font>
    <font>
      <i/>
      <sz val="11"/>
      <color rgb="FF7F8C8D"/>
      <name val="Cambria"/>
      <family val="1"/>
      <scheme val="major"/>
    </font>
    <font>
      <b/>
      <sz val="11"/>
      <name val="Cambria"/>
      <family val="1"/>
      <scheme val="major"/>
    </font>
    <font>
      <sz val="11"/>
      <name val="Cambria"/>
      <family val="1"/>
      <scheme val="major"/>
    </font>
    <font>
      <b/>
      <sz val="11"/>
      <color theme="1"/>
      <name val="Cambria"/>
      <family val="1"/>
      <scheme val="major"/>
    </font>
    <font>
      <sz val="11"/>
      <color theme="1"/>
      <name val="Cambria"/>
      <family val="1"/>
      <scheme val="major"/>
    </font>
    <font>
      <b/>
      <sz val="11"/>
      <color rgb="FF000000"/>
      <name val="Cambria"/>
      <family val="1"/>
      <scheme val="major"/>
    </font>
    <font>
      <b/>
      <sz val="11"/>
      <color rgb="FF1D4ED8"/>
      <name val="Cambria"/>
      <family val="1"/>
      <scheme val="major"/>
    </font>
    <font>
      <b/>
      <sz val="11"/>
      <color theme="0"/>
      <name val="Cambria"/>
      <family val="1"/>
      <scheme val="major"/>
    </font>
    <font>
      <sz val="11"/>
      <color theme="0"/>
      <name val="Cambria"/>
      <family val="1"/>
      <scheme val="major"/>
    </font>
    <font>
      <sz val="11"/>
      <color rgb="FF000000"/>
      <name val="Cambria"/>
      <family val="1"/>
      <scheme val="major"/>
    </font>
    <font>
      <b/>
      <sz val="11"/>
      <color rgb="FFFFFFFF"/>
      <name val="Cambria"/>
      <family val="1"/>
      <scheme val="major"/>
    </font>
    <font>
      <b/>
      <sz val="11"/>
      <color theme="1"/>
      <name val="Calibri"/>
      <family val="2"/>
      <scheme val="minor"/>
    </font>
    <font>
      <u/>
      <sz val="11"/>
      <color theme="10"/>
      <name val="Calibri"/>
      <family val="2"/>
      <scheme val="minor"/>
    </font>
    <font>
      <sz val="10"/>
      <color theme="1"/>
      <name val="Arial"/>
      <family val="2"/>
    </font>
    <font>
      <b/>
      <sz val="16"/>
      <color theme="0"/>
      <name val="Calibri"/>
      <family val="2"/>
      <scheme val="minor"/>
    </font>
    <font>
      <b/>
      <sz val="12"/>
      <color theme="0"/>
      <name val="Cambria"/>
      <family val="1"/>
      <scheme val="major"/>
    </font>
    <font>
      <b/>
      <sz val="11"/>
      <color theme="7"/>
      <name val="Cambria"/>
      <family val="1"/>
      <scheme val="major"/>
    </font>
    <font>
      <b/>
      <sz val="12"/>
      <color theme="1"/>
      <name val="Cambria"/>
      <family val="1"/>
      <scheme val="major"/>
    </font>
  </fonts>
  <fills count="7">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FFFF00"/>
        <bgColor indexed="64"/>
      </patternFill>
    </fill>
    <fill>
      <patternFill patternType="solid">
        <fgColor theme="7"/>
        <bgColor indexed="64"/>
      </patternFill>
    </fill>
    <fill>
      <patternFill patternType="solid">
        <fgColor rgb="FF34A853"/>
        <bgColor indexed="64"/>
      </patternFill>
    </fill>
  </fills>
  <borders count="40">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bottom/>
      <diagonal/>
    </border>
    <border>
      <left/>
      <right style="thin">
        <color indexed="64"/>
      </right>
      <top/>
      <bottom/>
      <diagonal/>
    </border>
    <border>
      <left/>
      <right style="thin">
        <color indexed="64"/>
      </right>
      <top style="thin">
        <color rgb="FF000000"/>
      </top>
      <bottom/>
      <diagonal/>
    </border>
    <border>
      <left style="thin">
        <color indexed="64"/>
      </left>
      <right/>
      <top style="thin">
        <color rgb="FF000000"/>
      </top>
      <bottom/>
      <diagonal/>
    </border>
    <border>
      <left style="thin">
        <color indexed="64"/>
      </left>
      <right/>
      <top/>
      <bottom style="thin">
        <color rgb="FF000000"/>
      </bottom>
      <diagonal/>
    </border>
    <border>
      <left/>
      <right style="thin">
        <color indexed="64"/>
      </right>
      <top/>
      <bottom style="thin">
        <color rgb="FF000000"/>
      </bottom>
      <diagonal/>
    </border>
    <border>
      <left style="thin">
        <color indexed="64"/>
      </left>
      <right style="thin">
        <color rgb="FF000000"/>
      </right>
      <top style="thin">
        <color rgb="FF000000"/>
      </top>
      <bottom style="thin">
        <color rgb="FF000000"/>
      </bottom>
      <diagonal/>
    </border>
    <border>
      <left style="thin">
        <color rgb="FF000000"/>
      </left>
      <right style="thin">
        <color indexed="64"/>
      </right>
      <top style="thin">
        <color rgb="FF000000"/>
      </top>
      <bottom style="thin">
        <color rgb="FF000000"/>
      </bottom>
      <diagonal/>
    </border>
    <border>
      <left style="thin">
        <color indexed="64"/>
      </left>
      <right/>
      <top style="thin">
        <color rgb="FF000000"/>
      </top>
      <bottom style="thin">
        <color rgb="FF000000"/>
      </bottom>
      <diagonal/>
    </border>
    <border>
      <left style="thin">
        <color rgb="FF000000"/>
      </left>
      <right style="thin">
        <color indexed="64"/>
      </right>
      <top/>
      <bottom style="thin">
        <color rgb="FF000000"/>
      </bottom>
      <diagonal/>
    </border>
    <border>
      <left/>
      <right style="thin">
        <color indexed="64"/>
      </right>
      <top style="thin">
        <color rgb="FF000000"/>
      </top>
      <bottom style="thin">
        <color rgb="FF000000"/>
      </bottom>
      <diagonal/>
    </border>
    <border>
      <left style="thin">
        <color indexed="64"/>
      </left>
      <right style="thin">
        <color rgb="FF000000"/>
      </right>
      <top/>
      <bottom style="thin">
        <color rgb="FF000000"/>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rgb="FF000000"/>
      </left>
      <right style="thin">
        <color indexed="64"/>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rgb="FF000000"/>
      </right>
      <top style="thin">
        <color rgb="FF000000"/>
      </top>
      <bottom/>
      <diagonal/>
    </border>
  </borders>
  <cellStyleXfs count="2">
    <xf numFmtId="0" fontId="0" fillId="0" borderId="0"/>
    <xf numFmtId="0" fontId="14" fillId="0" borderId="0" applyNumberFormat="0" applyFill="0" applyBorder="0" applyAlignment="0" applyProtection="0"/>
  </cellStyleXfs>
  <cellXfs count="227">
    <xf numFmtId="0" fontId="0" fillId="0" borderId="0" xfId="0"/>
    <xf numFmtId="0" fontId="1" fillId="0" borderId="0" xfId="0" applyFont="1" applyBorder="1"/>
    <xf numFmtId="0" fontId="1" fillId="0" borderId="0" xfId="0" applyFont="1" applyFill="1" applyBorder="1"/>
    <xf numFmtId="0" fontId="1" fillId="0" borderId="0" xfId="0" applyFont="1" applyBorder="1" applyAlignment="1"/>
    <xf numFmtId="0" fontId="4" fillId="0" borderId="24" xfId="0" applyFont="1" applyBorder="1" applyAlignment="1">
      <alignment vertical="center"/>
    </xf>
    <xf numFmtId="0" fontId="3" fillId="0" borderId="16" xfId="0" applyFont="1" applyBorder="1" applyAlignment="1">
      <alignment vertical="center"/>
    </xf>
    <xf numFmtId="164" fontId="4" fillId="0" borderId="17" xfId="0" applyNumberFormat="1" applyFont="1" applyBorder="1" applyAlignment="1">
      <alignment horizontal="center" vertical="center"/>
    </xf>
    <xf numFmtId="0" fontId="13" fillId="0" borderId="0" xfId="0" applyFont="1" applyBorder="1" applyAlignment="1">
      <alignment horizontal="center" vertical="center"/>
    </xf>
    <xf numFmtId="0" fontId="0" fillId="0" borderId="0" xfId="0" applyBorder="1" applyAlignment="1"/>
    <xf numFmtId="0" fontId="0" fillId="0" borderId="0" xfId="0" applyBorder="1"/>
    <xf numFmtId="0" fontId="0" fillId="0" borderId="0" xfId="0" applyBorder="1" applyAlignment="1">
      <alignment vertical="center"/>
    </xf>
    <xf numFmtId="0" fontId="6" fillId="5" borderId="9" xfId="0" applyFont="1" applyFill="1" applyBorder="1" applyAlignment="1">
      <alignment horizontal="center" vertical="center" wrapText="1"/>
    </xf>
    <xf numFmtId="0" fontId="8" fillId="5" borderId="24" xfId="0" applyFont="1" applyFill="1" applyBorder="1" applyAlignment="1">
      <alignment horizontal="center" vertical="center"/>
    </xf>
    <xf numFmtId="0" fontId="10" fillId="5" borderId="3" xfId="0" applyFont="1" applyFill="1" applyBorder="1" applyAlignment="1">
      <alignment horizontal="left" vertical="center"/>
    </xf>
    <xf numFmtId="0" fontId="12" fillId="5" borderId="19" xfId="0" applyFont="1" applyFill="1" applyBorder="1" applyAlignment="1">
      <alignment horizontal="left" vertical="center"/>
    </xf>
    <xf numFmtId="0" fontId="10" fillId="5" borderId="18" xfId="0" applyFont="1" applyFill="1" applyBorder="1" applyAlignment="1">
      <alignment horizontal="left" vertical="center"/>
    </xf>
    <xf numFmtId="0" fontId="15" fillId="3" borderId="32" xfId="0" applyFont="1" applyFill="1" applyBorder="1" applyAlignment="1">
      <alignment wrapText="1"/>
    </xf>
    <xf numFmtId="0" fontId="15" fillId="4" borderId="32" xfId="0" applyFont="1" applyFill="1" applyBorder="1" applyAlignment="1">
      <alignment wrapText="1"/>
    </xf>
    <xf numFmtId="0" fontId="15" fillId="6" borderId="32" xfId="0" applyFont="1" applyFill="1" applyBorder="1" applyAlignment="1">
      <alignment wrapText="1"/>
    </xf>
    <xf numFmtId="0" fontId="0" fillId="0" borderId="29" xfId="0" applyBorder="1" applyAlignment="1">
      <alignment vertical="center" wrapText="1"/>
    </xf>
    <xf numFmtId="0" fontId="0" fillId="0" borderId="0" xfId="0" applyAlignment="1">
      <alignment vertical="center" wrapText="1"/>
    </xf>
    <xf numFmtId="0" fontId="13" fillId="0" borderId="0" xfId="0" applyFont="1" applyAlignment="1">
      <alignment horizontal="center" vertical="center" wrapText="1"/>
    </xf>
    <xf numFmtId="0" fontId="13" fillId="0" borderId="33" xfId="0" applyFont="1" applyBorder="1" applyAlignment="1">
      <alignment horizontal="left" vertical="center"/>
    </xf>
    <xf numFmtId="0" fontId="0" fillId="0" borderId="30" xfId="0" applyBorder="1" applyAlignment="1">
      <alignment horizontal="right" vertical="center"/>
    </xf>
    <xf numFmtId="0" fontId="0" fillId="0" borderId="0" xfId="0" applyBorder="1" applyAlignment="1">
      <alignment horizontal="right"/>
    </xf>
    <xf numFmtId="0" fontId="0" fillId="0" borderId="31" xfId="0" applyBorder="1" applyAlignment="1">
      <alignment vertical="center" wrapText="1"/>
    </xf>
    <xf numFmtId="0" fontId="0" fillId="0" borderId="29" xfId="0" applyFont="1" applyBorder="1" applyAlignment="1">
      <alignment horizontal="left" vertical="top" wrapText="1"/>
    </xf>
    <xf numFmtId="0" fontId="14" fillId="0" borderId="0" xfId="1"/>
    <xf numFmtId="164" fontId="13" fillId="0" borderId="16" xfId="0" applyNumberFormat="1" applyFont="1" applyBorder="1" applyAlignment="1">
      <alignment horizontal="left" vertical="center"/>
    </xf>
    <xf numFmtId="164" fontId="0" fillId="0" borderId="0" xfId="0" applyNumberFormat="1" applyBorder="1"/>
    <xf numFmtId="0" fontId="13" fillId="0" borderId="28" xfId="0" applyFont="1" applyBorder="1" applyAlignment="1">
      <alignment horizontal="right" vertical="center" wrapText="1"/>
    </xf>
    <xf numFmtId="0" fontId="13" fillId="0" borderId="33" xfId="0" applyFont="1" applyBorder="1" applyAlignment="1">
      <alignment horizontal="center" vertical="center" wrapText="1"/>
    </xf>
    <xf numFmtId="0" fontId="13" fillId="0" borderId="33" xfId="0" applyFont="1" applyBorder="1" applyAlignment="1">
      <alignment horizontal="center" vertical="center"/>
    </xf>
    <xf numFmtId="165" fontId="0" fillId="0" borderId="29" xfId="0" applyNumberFormat="1" applyBorder="1" applyAlignment="1">
      <alignment vertical="center"/>
    </xf>
    <xf numFmtId="0" fontId="0" fillId="0" borderId="31" xfId="0" applyBorder="1" applyAlignment="1">
      <alignment horizontal="left" vertical="top" wrapText="1"/>
    </xf>
    <xf numFmtId="165" fontId="0" fillId="0" borderId="31" xfId="0" applyNumberFormat="1" applyBorder="1" applyAlignment="1">
      <alignment vertical="center"/>
    </xf>
    <xf numFmtId="0" fontId="4" fillId="0" borderId="0" xfId="0" applyFont="1" applyBorder="1" applyAlignment="1">
      <alignment vertical="center" wrapText="1"/>
    </xf>
    <xf numFmtId="0" fontId="17" fillId="5" borderId="34" xfId="0" applyFont="1" applyFill="1" applyBorder="1" applyAlignment="1">
      <alignment horizontal="left"/>
    </xf>
    <xf numFmtId="0" fontId="3" fillId="0" borderId="19" xfId="0" applyFont="1" applyBorder="1" applyAlignment="1"/>
    <xf numFmtId="0" fontId="3" fillId="0" borderId="16" xfId="0" applyFont="1" applyBorder="1" applyAlignment="1"/>
    <xf numFmtId="0" fontId="3" fillId="0" borderId="0" xfId="0" applyFont="1" applyBorder="1" applyAlignment="1"/>
    <xf numFmtId="0" fontId="6" fillId="0" borderId="0" xfId="0" applyFont="1" applyBorder="1" applyAlignment="1">
      <alignment horizontal="left"/>
    </xf>
    <xf numFmtId="0" fontId="6" fillId="0" borderId="17" xfId="0" applyFont="1" applyBorder="1" applyAlignment="1">
      <alignment horizontal="left"/>
    </xf>
    <xf numFmtId="0" fontId="5" fillId="2" borderId="6" xfId="0" applyFont="1" applyFill="1" applyBorder="1" applyAlignment="1">
      <alignment horizontal="center" vertical="center"/>
    </xf>
    <xf numFmtId="0" fontId="10" fillId="5" borderId="2" xfId="0" applyFont="1" applyFill="1" applyBorder="1" applyAlignment="1">
      <alignment horizontal="center"/>
    </xf>
    <xf numFmtId="0" fontId="6" fillId="0" borderId="23" xfId="0" applyFont="1" applyBorder="1"/>
    <xf numFmtId="0" fontId="6" fillId="5" borderId="23" xfId="0" applyFont="1" applyFill="1" applyBorder="1"/>
    <xf numFmtId="0" fontId="17" fillId="5" borderId="6" xfId="0" applyFont="1" applyFill="1" applyBorder="1" applyAlignment="1">
      <alignment wrapText="1"/>
    </xf>
    <xf numFmtId="0" fontId="5" fillId="0" borderId="22" xfId="0" applyFont="1" applyBorder="1"/>
    <xf numFmtId="0" fontId="7" fillId="0" borderId="6" xfId="0" applyFont="1" applyBorder="1"/>
    <xf numFmtId="0" fontId="7" fillId="0" borderId="10" xfId="0" applyFont="1" applyBorder="1"/>
    <xf numFmtId="0" fontId="7" fillId="0" borderId="23" xfId="0" applyFont="1" applyBorder="1"/>
    <xf numFmtId="0" fontId="6" fillId="0" borderId="22" xfId="0" applyFont="1" applyBorder="1"/>
    <xf numFmtId="2" fontId="1" fillId="0" borderId="0" xfId="0" applyNumberFormat="1" applyFont="1" applyBorder="1"/>
    <xf numFmtId="0" fontId="6" fillId="0" borderId="34" xfId="0" applyFont="1" applyBorder="1"/>
    <xf numFmtId="0" fontId="6" fillId="0" borderId="29" xfId="0" applyFont="1" applyBorder="1"/>
    <xf numFmtId="0" fontId="9" fillId="5" borderId="29" xfId="0" applyFont="1" applyFill="1" applyBorder="1"/>
    <xf numFmtId="164" fontId="9" fillId="5" borderId="29" xfId="0" applyNumberFormat="1" applyFont="1" applyFill="1" applyBorder="1"/>
    <xf numFmtId="0" fontId="17" fillId="5" borderId="3" xfId="0" applyFont="1" applyFill="1" applyBorder="1" applyAlignment="1">
      <alignment horizontal="left"/>
    </xf>
    <xf numFmtId="0" fontId="17" fillId="5" borderId="24" xfId="0" applyFont="1" applyFill="1" applyBorder="1" applyAlignment="1">
      <alignment horizontal="left"/>
    </xf>
    <xf numFmtId="0" fontId="5" fillId="0" borderId="0" xfId="0" applyFont="1" applyBorder="1" applyAlignment="1">
      <alignment horizontal="left" vertical="center" wrapText="1"/>
      <extLst>
        <ext xmlns:xfpb="http://schemas.microsoft.com/office/spreadsheetml/2022/featurepropertybag" uri="{C7286773-470A-42A8-94C5-96B5CB345126}">
          <xfpb:xfComplement i="0"/>
        </ext>
      </extLst>
    </xf>
    <xf numFmtId="0" fontId="5" fillId="0" borderId="0" xfId="0" applyFont="1" applyBorder="1" applyAlignment="1">
      <alignment horizontal="left" vertical="center" wrapText="1"/>
    </xf>
    <xf numFmtId="0" fontId="6" fillId="0" borderId="0" xfId="0" applyFont="1" applyBorder="1" applyAlignment="1">
      <alignment horizontal="left" wrapText="1"/>
      <extLst>
        <ext xmlns:xfpb="http://schemas.microsoft.com/office/spreadsheetml/2022/featurepropertybag" uri="{C7286773-470A-42A8-94C5-96B5CB345126}">
          <xfpb:xfComplement i="0"/>
        </ext>
      </extLst>
    </xf>
    <xf numFmtId="0" fontId="6" fillId="0" borderId="0" xfId="0" applyFont="1" applyBorder="1" applyAlignment="1">
      <alignment horizontal="left" wrapText="1"/>
    </xf>
    <xf numFmtId="0" fontId="4" fillId="0" borderId="6" xfId="0" applyFont="1" applyBorder="1" applyAlignment="1">
      <alignment horizontal="left" vertical="center" wrapText="1"/>
      <extLst>
        <ext xmlns:xfpb="http://schemas.microsoft.com/office/spreadsheetml/2022/featurepropertybag" uri="{C7286773-470A-42A8-94C5-96B5CB345126}">
          <xfpb:xfComplement i="0"/>
        </ext>
      </extLst>
    </xf>
    <xf numFmtId="0" fontId="3" fillId="0" borderId="1" xfId="0" applyFont="1" applyFill="1" applyBorder="1" applyAlignment="1">
      <alignment vertical="center" wrapText="1"/>
    </xf>
    <xf numFmtId="0" fontId="4" fillId="0" borderId="1" xfId="0" applyFont="1" applyBorder="1" applyAlignment="1">
      <alignment vertical="center" wrapText="1"/>
    </xf>
    <xf numFmtId="0" fontId="3" fillId="0" borderId="6" xfId="0" applyFont="1" applyFill="1" applyBorder="1" applyAlignment="1">
      <alignment vertical="center" wrapText="1"/>
    </xf>
    <xf numFmtId="0" fontId="4" fillId="0" borderId="6" xfId="0" applyFont="1" applyBorder="1" applyAlignment="1">
      <alignment vertical="center" wrapText="1"/>
    </xf>
    <xf numFmtId="0" fontId="10" fillId="5" borderId="3" xfId="0" applyFont="1" applyFill="1" applyBorder="1" applyAlignment="1">
      <alignment horizontal="left" vertical="center" wrapText="1"/>
    </xf>
    <xf numFmtId="0" fontId="5" fillId="0" borderId="1" xfId="0" applyFont="1" applyBorder="1" applyAlignment="1">
      <alignment horizontal="center" wrapText="1"/>
    </xf>
    <xf numFmtId="0" fontId="5" fillId="0" borderId="6" xfId="0" applyFont="1" applyBorder="1" applyAlignment="1">
      <alignment wrapText="1"/>
    </xf>
    <xf numFmtId="164" fontId="6" fillId="0" borderId="6" xfId="0" applyNumberFormat="1" applyFont="1" applyBorder="1" applyAlignment="1">
      <alignment horizontal="center" wrapText="1"/>
    </xf>
    <xf numFmtId="0" fontId="6" fillId="0" borderId="9" xfId="0" applyNumberFormat="1" applyFont="1" applyBorder="1" applyAlignment="1">
      <alignment horizontal="left" wrapText="1"/>
    </xf>
    <xf numFmtId="164" fontId="6" fillId="0" borderId="10" xfId="0" applyNumberFormat="1" applyFont="1" applyBorder="1" applyAlignment="1">
      <alignment horizontal="center" wrapText="1"/>
    </xf>
    <xf numFmtId="0" fontId="6" fillId="0" borderId="12" xfId="0" applyNumberFormat="1" applyFont="1" applyBorder="1" applyAlignment="1">
      <alignment horizontal="left" wrapText="1"/>
    </xf>
    <xf numFmtId="164" fontId="6" fillId="0" borderId="29" xfId="0" applyNumberFormat="1" applyFont="1" applyBorder="1" applyAlignment="1">
      <alignment horizontal="center" wrapText="1"/>
    </xf>
    <xf numFmtId="0" fontId="9" fillId="5" borderId="29" xfId="0" applyFont="1" applyFill="1" applyBorder="1" applyAlignment="1">
      <alignment wrapText="1"/>
    </xf>
    <xf numFmtId="49" fontId="9" fillId="5" borderId="29" xfId="0" applyNumberFormat="1" applyFont="1" applyFill="1" applyBorder="1" applyAlignment="1">
      <alignment wrapText="1"/>
    </xf>
    <xf numFmtId="0" fontId="1" fillId="0" borderId="0" xfId="0" applyFont="1" applyBorder="1" applyAlignment="1">
      <alignment wrapText="1"/>
    </xf>
    <xf numFmtId="15" fontId="6" fillId="0" borderId="34" xfId="0" applyNumberFormat="1" applyFont="1" applyBorder="1" applyAlignment="1">
      <alignment horizontal="left" vertical="center"/>
    </xf>
    <xf numFmtId="15" fontId="6" fillId="0" borderId="29" xfId="0" applyNumberFormat="1" applyFont="1" applyBorder="1" applyAlignment="1">
      <alignment horizontal="left" vertical="center"/>
    </xf>
    <xf numFmtId="164" fontId="6" fillId="0" borderId="29" xfId="0" applyNumberFormat="1" applyFont="1" applyBorder="1" applyAlignment="1">
      <alignment horizontal="center" vertical="center"/>
    </xf>
    <xf numFmtId="164" fontId="9" fillId="5" borderId="29" xfId="0" applyNumberFormat="1" applyFont="1" applyFill="1" applyBorder="1" applyAlignment="1">
      <alignment horizontal="center" vertical="center"/>
    </xf>
    <xf numFmtId="0" fontId="5" fillId="0" borderId="34" xfId="0" applyFont="1" applyBorder="1" applyAlignment="1">
      <alignment vertical="center" wrapText="1"/>
    </xf>
    <xf numFmtId="0" fontId="5" fillId="0" borderId="10" xfId="0" applyFont="1" applyBorder="1" applyAlignment="1">
      <alignment vertical="center" wrapText="1"/>
    </xf>
    <xf numFmtId="0" fontId="5" fillId="0" borderId="10" xfId="0" applyFont="1" applyBorder="1" applyAlignment="1">
      <alignment horizontal="center" vertical="center"/>
    </xf>
    <xf numFmtId="0" fontId="5" fillId="0" borderId="39" xfId="0" applyFont="1" applyBorder="1" applyAlignment="1">
      <alignment horizontal="center" vertical="center"/>
    </xf>
    <xf numFmtId="0" fontId="5" fillId="0" borderId="36" xfId="0" applyFont="1" applyBorder="1" applyAlignment="1">
      <alignment horizontal="center" vertical="center"/>
    </xf>
    <xf numFmtId="0" fontId="6" fillId="0" borderId="29" xfId="0" applyFont="1" applyBorder="1" applyAlignment="1">
      <alignment horizontal="left" vertical="center" wrapText="1"/>
    </xf>
    <xf numFmtId="0" fontId="6" fillId="0" borderId="29" xfId="0" applyFont="1" applyBorder="1" applyAlignment="1">
      <alignment vertical="center" wrapText="1"/>
    </xf>
    <xf numFmtId="0" fontId="6" fillId="0" borderId="29" xfId="0" applyFont="1" applyBorder="1" applyAlignment="1">
      <alignment horizontal="center" vertical="center"/>
    </xf>
    <xf numFmtId="0" fontId="9" fillId="5" borderId="29" xfId="0" applyFont="1" applyFill="1" applyBorder="1" applyAlignment="1">
      <alignment horizontal="left" vertical="center" wrapText="1"/>
    </xf>
    <xf numFmtId="0" fontId="9" fillId="5" borderId="29" xfId="0" applyFont="1" applyFill="1" applyBorder="1" applyAlignment="1">
      <alignment horizontal="center" vertical="center" wrapText="1"/>
    </xf>
    <xf numFmtId="0" fontId="6" fillId="0" borderId="29" xfId="0" applyNumberFormat="1" applyFont="1" applyBorder="1" applyAlignment="1">
      <alignment horizontal="left" vertical="center" wrapText="1"/>
    </xf>
    <xf numFmtId="15" fontId="6" fillId="0" borderId="19" xfId="0" applyNumberFormat="1" applyFont="1" applyBorder="1" applyAlignment="1">
      <alignment horizontal="left" vertical="center"/>
    </xf>
    <xf numFmtId="15" fontId="6" fillId="0" borderId="37" xfId="0" applyNumberFormat="1" applyFont="1" applyBorder="1" applyAlignment="1">
      <alignment horizontal="left" vertical="center"/>
    </xf>
    <xf numFmtId="0" fontId="7" fillId="0" borderId="2" xfId="0" applyFont="1" applyBorder="1"/>
    <xf numFmtId="0" fontId="6" fillId="0" borderId="25" xfId="0" applyFont="1" applyBorder="1" applyAlignment="1">
      <alignment horizontal="center" vertical="center"/>
    </xf>
    <xf numFmtId="0" fontId="6" fillId="0" borderId="9" xfId="0" applyFont="1" applyBorder="1" applyAlignment="1">
      <alignment horizontal="center" vertical="center"/>
    </xf>
    <xf numFmtId="0" fontId="6" fillId="0" borderId="6" xfId="0" applyFont="1" applyBorder="1" applyAlignment="1">
      <alignment horizontal="center" vertical="center"/>
    </xf>
    <xf numFmtId="0" fontId="6" fillId="0" borderId="10" xfId="0" applyFont="1" applyBorder="1" applyAlignment="1">
      <alignment horizontal="center" vertical="center"/>
    </xf>
    <xf numFmtId="164" fontId="6" fillId="0" borderId="4" xfId="0" applyNumberFormat="1" applyFont="1" applyBorder="1" applyAlignment="1"/>
    <xf numFmtId="164" fontId="6" fillId="0" borderId="6" xfId="0" applyNumberFormat="1" applyFont="1" applyBorder="1" applyAlignment="1"/>
    <xf numFmtId="164" fontId="6" fillId="0" borderId="21" xfId="0" applyNumberFormat="1" applyFont="1" applyBorder="1" applyAlignment="1"/>
    <xf numFmtId="164" fontId="6" fillId="0" borderId="11" xfId="0" applyNumberFormat="1" applyFont="1" applyBorder="1" applyAlignment="1"/>
    <xf numFmtId="164" fontId="6" fillId="0" borderId="10" xfId="0" applyNumberFormat="1" applyFont="1" applyBorder="1" applyAlignment="1"/>
    <xf numFmtId="164" fontId="6" fillId="0" borderId="17" xfId="0" applyNumberFormat="1" applyFont="1" applyBorder="1" applyAlignment="1"/>
    <xf numFmtId="164" fontId="6" fillId="0" borderId="29" xfId="0" applyNumberFormat="1" applyFont="1" applyBorder="1" applyAlignment="1"/>
    <xf numFmtId="164" fontId="9" fillId="5" borderId="29" xfId="0" applyNumberFormat="1" applyFont="1" applyFill="1" applyBorder="1" applyAlignment="1"/>
    <xf numFmtId="164" fontId="6" fillId="0" borderId="3" xfId="0" applyNumberFormat="1" applyFont="1" applyBorder="1" applyAlignment="1">
      <alignment horizontal="right" vertical="center"/>
    </xf>
    <xf numFmtId="164" fontId="6" fillId="0" borderId="30" xfId="0" applyNumberFormat="1" applyFont="1" applyBorder="1" applyAlignment="1">
      <alignment horizontal="right" vertical="center"/>
    </xf>
    <xf numFmtId="164" fontId="6" fillId="0" borderId="29" xfId="0" applyNumberFormat="1" applyFont="1" applyBorder="1" applyAlignment="1">
      <alignment horizontal="right" vertical="center"/>
    </xf>
    <xf numFmtId="0" fontId="5" fillId="2" borderId="6" xfId="0" applyFont="1" applyFill="1" applyBorder="1" applyAlignment="1">
      <alignment horizontal="center" vertical="center" wrapText="1"/>
    </xf>
    <xf numFmtId="0" fontId="5" fillId="2" borderId="23" xfId="0" applyFont="1" applyFill="1" applyBorder="1" applyAlignment="1">
      <alignment horizontal="center" vertical="center"/>
    </xf>
    <xf numFmtId="0" fontId="1" fillId="0" borderId="0" xfId="0" applyFont="1" applyBorder="1" applyAlignment="1">
      <alignment horizontal="center" vertical="center"/>
    </xf>
    <xf numFmtId="49" fontId="9" fillId="5" borderId="20" xfId="0" applyNumberFormat="1" applyFont="1" applyFill="1" applyBorder="1" applyAlignment="1">
      <alignment horizontal="center" wrapText="1"/>
    </xf>
    <xf numFmtId="49" fontId="9" fillId="5" borderId="21" xfId="0" applyNumberFormat="1" applyFont="1" applyFill="1" applyBorder="1" applyAlignment="1">
      <alignment horizontal="center" wrapText="1"/>
    </xf>
    <xf numFmtId="0" fontId="9" fillId="0" borderId="38" xfId="0" applyFont="1" applyFill="1" applyBorder="1" applyAlignment="1">
      <alignment horizontal="center"/>
    </xf>
    <xf numFmtId="0" fontId="18" fillId="2" borderId="34" xfId="0" applyFont="1" applyFill="1" applyBorder="1" applyAlignment="1">
      <alignment horizontal="center" vertical="center" wrapText="1"/>
    </xf>
    <xf numFmtId="0" fontId="18" fillId="2" borderId="35" xfId="0" applyFont="1" applyFill="1" applyBorder="1" applyAlignment="1">
      <alignment horizontal="center" vertical="center" wrapText="1"/>
    </xf>
    <xf numFmtId="0" fontId="18" fillId="2" borderId="27" xfId="0" applyFont="1" applyFill="1" applyBorder="1" applyAlignment="1">
      <alignment horizontal="center" vertical="center" wrapText="1"/>
    </xf>
    <xf numFmtId="0" fontId="6" fillId="0" borderId="1" xfId="0" applyFont="1" applyBorder="1" applyAlignment="1">
      <alignment horizontal="left" vertical="center" wrapText="1"/>
    </xf>
    <xf numFmtId="0" fontId="6" fillId="0" borderId="2" xfId="0" applyFont="1" applyBorder="1" applyAlignment="1">
      <alignment horizontal="left" vertical="center" wrapText="1"/>
    </xf>
    <xf numFmtId="0" fontId="17" fillId="5" borderId="19" xfId="0" applyFont="1" applyFill="1" applyBorder="1" applyAlignment="1">
      <alignment vertical="center" wrapText="1"/>
    </xf>
    <xf numFmtId="0" fontId="17" fillId="5" borderId="3" xfId="0" applyFont="1" applyFill="1" applyBorder="1" applyAlignment="1">
      <alignment vertical="center" wrapText="1"/>
    </xf>
    <xf numFmtId="0" fontId="17" fillId="5" borderId="18" xfId="0" applyFont="1" applyFill="1" applyBorder="1" applyAlignment="1">
      <alignment vertical="center" wrapText="1"/>
    </xf>
    <xf numFmtId="0" fontId="19" fillId="0" borderId="20" xfId="0" applyFont="1" applyFill="1" applyBorder="1" applyAlignment="1">
      <alignment horizontal="center" vertical="center" wrapText="1"/>
    </xf>
    <xf numFmtId="0" fontId="19" fillId="0" borderId="5" xfId="0" applyFont="1" applyFill="1" applyBorder="1" applyAlignment="1">
      <alignment horizontal="center" vertical="center" wrapText="1"/>
    </xf>
    <xf numFmtId="0" fontId="19" fillId="0" borderId="21" xfId="0" applyFont="1" applyFill="1" applyBorder="1" applyAlignment="1">
      <alignment horizontal="center" vertical="center" wrapText="1"/>
    </xf>
    <xf numFmtId="0" fontId="4" fillId="0" borderId="1" xfId="0" applyFont="1" applyBorder="1" applyAlignment="1">
      <alignment vertical="center"/>
    </xf>
    <xf numFmtId="0" fontId="4" fillId="0" borderId="7" xfId="0" applyFont="1" applyBorder="1" applyAlignment="1">
      <alignment vertical="center"/>
    </xf>
    <xf numFmtId="0" fontId="4" fillId="0" borderId="26" xfId="0" applyFont="1" applyBorder="1" applyAlignment="1">
      <alignment vertical="center"/>
    </xf>
    <xf numFmtId="0" fontId="6" fillId="0" borderId="24" xfId="0" applyFont="1" applyBorder="1" applyAlignment="1">
      <alignment horizontal="center" vertical="center"/>
    </xf>
    <xf numFmtId="0" fontId="6" fillId="0" borderId="7" xfId="0" applyFont="1" applyBorder="1" applyAlignment="1">
      <alignment horizontal="center" vertical="center"/>
    </xf>
    <xf numFmtId="0" fontId="6" fillId="0" borderId="26" xfId="0" applyFont="1" applyBorder="1" applyAlignment="1">
      <alignment horizontal="center" vertical="center"/>
    </xf>
    <xf numFmtId="0" fontId="9" fillId="5" borderId="1" xfId="0" applyFont="1" applyFill="1" applyBorder="1" applyAlignment="1">
      <alignment horizontal="right" wrapText="1"/>
    </xf>
    <xf numFmtId="0" fontId="9" fillId="5" borderId="2" xfId="0" applyFont="1" applyFill="1" applyBorder="1" applyAlignment="1">
      <alignment horizontal="right" wrapText="1"/>
    </xf>
    <xf numFmtId="0" fontId="8" fillId="0" borderId="24" xfId="0" applyFont="1" applyFill="1" applyBorder="1" applyAlignment="1">
      <alignment horizontal="center" vertical="center"/>
    </xf>
    <xf numFmtId="0" fontId="8" fillId="0" borderId="7" xfId="0" applyFont="1" applyFill="1" applyBorder="1" applyAlignment="1">
      <alignment horizontal="center" vertical="center"/>
    </xf>
    <xf numFmtId="0" fontId="8" fillId="0" borderId="26" xfId="0" applyFont="1" applyFill="1" applyBorder="1" applyAlignment="1">
      <alignment horizontal="center" vertical="center"/>
    </xf>
    <xf numFmtId="0" fontId="17" fillId="5" borderId="24" xfId="0" applyFont="1" applyFill="1" applyBorder="1" applyAlignment="1">
      <alignment horizontal="left"/>
    </xf>
    <xf numFmtId="0" fontId="17" fillId="5" borderId="2" xfId="0" applyFont="1" applyFill="1" applyBorder="1" applyAlignment="1">
      <alignment horizontal="left"/>
    </xf>
    <xf numFmtId="0" fontId="17" fillId="5" borderId="1" xfId="0" applyFont="1" applyFill="1" applyBorder="1" applyAlignment="1">
      <alignment horizontal="center"/>
    </xf>
    <xf numFmtId="0" fontId="17" fillId="5" borderId="7" xfId="0" applyFont="1" applyFill="1" applyBorder="1" applyAlignment="1">
      <alignment horizontal="center"/>
    </xf>
    <xf numFmtId="0" fontId="17" fillId="5" borderId="26" xfId="0" applyFont="1" applyFill="1" applyBorder="1" applyAlignment="1">
      <alignment horizontal="center"/>
    </xf>
    <xf numFmtId="0" fontId="4" fillId="0" borderId="8" xfId="0" applyFont="1" applyFill="1" applyBorder="1" applyAlignment="1">
      <alignment horizontal="left" vertical="top" wrapText="1"/>
    </xf>
    <xf numFmtId="0" fontId="4" fillId="0" borderId="3" xfId="0" applyFont="1" applyFill="1" applyBorder="1" applyAlignment="1">
      <alignment horizontal="left" vertical="top" wrapText="1"/>
    </xf>
    <xf numFmtId="0" fontId="4" fillId="0" borderId="18" xfId="0" applyFont="1" applyFill="1" applyBorder="1" applyAlignment="1">
      <alignment horizontal="left" vertical="top" wrapText="1"/>
    </xf>
    <xf numFmtId="0" fontId="4" fillId="0" borderId="11" xfId="0" applyFont="1" applyFill="1" applyBorder="1" applyAlignment="1">
      <alignment horizontal="left" vertical="top" wrapText="1"/>
    </xf>
    <xf numFmtId="0" fontId="4" fillId="0" borderId="0" xfId="0" applyFont="1" applyFill="1" applyBorder="1" applyAlignment="1">
      <alignment horizontal="left" vertical="top" wrapText="1"/>
    </xf>
    <xf numFmtId="0" fontId="4" fillId="0" borderId="17" xfId="0" applyFont="1" applyFill="1" applyBorder="1" applyAlignment="1">
      <alignment horizontal="left" vertical="top" wrapText="1"/>
    </xf>
    <xf numFmtId="0" fontId="4" fillId="0" borderId="4" xfId="0" applyFont="1" applyFill="1" applyBorder="1" applyAlignment="1">
      <alignment horizontal="left" vertical="top" wrapText="1"/>
    </xf>
    <xf numFmtId="0" fontId="4" fillId="0" borderId="5" xfId="0" applyFont="1" applyFill="1" applyBorder="1" applyAlignment="1">
      <alignment horizontal="left" vertical="top" wrapText="1"/>
    </xf>
    <xf numFmtId="0" fontId="4" fillId="0" borderId="21" xfId="0" applyFont="1" applyFill="1" applyBorder="1" applyAlignment="1">
      <alignment horizontal="left" vertical="top" wrapText="1"/>
    </xf>
    <xf numFmtId="0" fontId="11" fillId="0" borderId="29" xfId="0" applyFont="1" applyBorder="1" applyAlignment="1">
      <alignment horizontal="left" vertical="top" wrapText="1"/>
    </xf>
    <xf numFmtId="0" fontId="9" fillId="0" borderId="20" xfId="0" applyFont="1" applyFill="1" applyBorder="1" applyAlignment="1">
      <alignment horizontal="center"/>
    </xf>
    <xf numFmtId="0" fontId="9" fillId="0" borderId="5" xfId="0" applyFont="1" applyFill="1" applyBorder="1" applyAlignment="1">
      <alignment horizontal="center"/>
    </xf>
    <xf numFmtId="0" fontId="9" fillId="0" borderId="21" xfId="0" applyFont="1" applyFill="1" applyBorder="1" applyAlignment="1">
      <alignment horizontal="center"/>
    </xf>
    <xf numFmtId="0" fontId="6" fillId="0" borderId="24" xfId="0" applyFont="1" applyFill="1" applyBorder="1" applyAlignment="1">
      <alignment horizontal="center"/>
    </xf>
    <xf numFmtId="0" fontId="6" fillId="0" borderId="7" xfId="0" applyFont="1" applyFill="1" applyBorder="1" applyAlignment="1">
      <alignment horizontal="center"/>
    </xf>
    <xf numFmtId="0" fontId="6" fillId="0" borderId="26" xfId="0" applyFont="1" applyFill="1" applyBorder="1" applyAlignment="1">
      <alignment horizontal="center"/>
    </xf>
    <xf numFmtId="0" fontId="0" fillId="0" borderId="5" xfId="0" applyBorder="1" applyAlignment="1">
      <alignment horizontal="center"/>
    </xf>
    <xf numFmtId="0" fontId="9" fillId="5" borderId="29" xfId="0" applyFont="1" applyFill="1" applyBorder="1" applyAlignment="1">
      <alignment horizontal="left" vertical="center" wrapText="1"/>
    </xf>
    <xf numFmtId="0" fontId="5" fillId="0" borderId="29" xfId="0" applyFont="1" applyBorder="1" applyAlignment="1">
      <alignment horizontal="left" wrapText="1"/>
    </xf>
    <xf numFmtId="0" fontId="6" fillId="0" borderId="29" xfId="0" applyNumberFormat="1" applyFont="1" applyBorder="1" applyAlignment="1">
      <alignment horizontal="left" wrapText="1"/>
    </xf>
    <xf numFmtId="0" fontId="3" fillId="0" borderId="1" xfId="0" applyFont="1" applyFill="1" applyBorder="1" applyAlignment="1">
      <alignment vertical="center"/>
    </xf>
    <xf numFmtId="0" fontId="3" fillId="0" borderId="7" xfId="0" applyFont="1" applyFill="1" applyBorder="1" applyAlignment="1">
      <alignment vertical="center"/>
    </xf>
    <xf numFmtId="0" fontId="3" fillId="0" borderId="26" xfId="0" applyFont="1" applyFill="1" applyBorder="1" applyAlignment="1">
      <alignment vertical="center"/>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6" fillId="0" borderId="1" xfId="0" applyFont="1" applyBorder="1" applyAlignment="1">
      <alignment vertical="center" wrapText="1"/>
    </xf>
    <xf numFmtId="0" fontId="6" fillId="0" borderId="2" xfId="0" applyFont="1" applyBorder="1" applyAlignment="1">
      <alignment vertical="center" wrapText="1"/>
    </xf>
    <xf numFmtId="0" fontId="6" fillId="0" borderId="10"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9" xfId="0" applyFont="1" applyBorder="1" applyAlignment="1">
      <alignment horizontal="center" vertical="center" wrapText="1"/>
    </xf>
    <xf numFmtId="0" fontId="17" fillId="5" borderId="7" xfId="0" applyFont="1" applyFill="1" applyBorder="1" applyAlignment="1">
      <alignment horizontal="left" wrapText="1"/>
    </xf>
    <xf numFmtId="0" fontId="17" fillId="5" borderId="3" xfId="0" applyFont="1" applyFill="1" applyBorder="1" applyAlignment="1">
      <alignment horizontal="left" wrapText="1"/>
    </xf>
    <xf numFmtId="0" fontId="17" fillId="5" borderId="7" xfId="0" applyFont="1" applyFill="1" applyBorder="1" applyAlignment="1">
      <alignment horizontal="left"/>
    </xf>
    <xf numFmtId="0" fontId="17" fillId="5" borderId="26" xfId="0" applyFont="1" applyFill="1" applyBorder="1" applyAlignment="1">
      <alignment horizontal="left"/>
    </xf>
    <xf numFmtId="0" fontId="4" fillId="0" borderId="19" xfId="0" applyFont="1" applyBorder="1" applyAlignment="1">
      <alignment vertical="top" wrapText="1"/>
    </xf>
    <xf numFmtId="0" fontId="4" fillId="0" borderId="3" xfId="0" applyFont="1" applyBorder="1" applyAlignment="1">
      <alignment vertical="top" wrapText="1"/>
    </xf>
    <xf numFmtId="0" fontId="4" fillId="0" borderId="18" xfId="0" applyFont="1" applyBorder="1" applyAlignment="1">
      <alignment vertical="top" wrapText="1"/>
    </xf>
    <xf numFmtId="0" fontId="4" fillId="0" borderId="16" xfId="0" applyFont="1" applyBorder="1" applyAlignment="1">
      <alignment vertical="top" wrapText="1"/>
    </xf>
    <xf numFmtId="0" fontId="4" fillId="0" borderId="0" xfId="0" applyFont="1" applyBorder="1" applyAlignment="1">
      <alignment vertical="top" wrapText="1"/>
    </xf>
    <xf numFmtId="0" fontId="4" fillId="0" borderId="17" xfId="0" applyFont="1" applyBorder="1" applyAlignment="1">
      <alignment vertical="top" wrapText="1"/>
    </xf>
    <xf numFmtId="0" fontId="4" fillId="0" borderId="20" xfId="0" applyFont="1" applyBorder="1" applyAlignment="1">
      <alignment vertical="top" wrapText="1"/>
    </xf>
    <xf numFmtId="0" fontId="4" fillId="0" borderId="5" xfId="0" applyFont="1" applyBorder="1" applyAlignment="1">
      <alignment vertical="top" wrapText="1"/>
    </xf>
    <xf numFmtId="0" fontId="4" fillId="0" borderId="21" xfId="0" applyFont="1" applyBorder="1" applyAlignment="1">
      <alignment vertical="top" wrapText="1"/>
    </xf>
    <xf numFmtId="0" fontId="17" fillId="5" borderId="13" xfId="0" applyFont="1" applyFill="1" applyBorder="1" applyAlignment="1">
      <alignment horizontal="left" vertical="center"/>
    </xf>
    <xf numFmtId="0" fontId="17" fillId="5" borderId="14" xfId="0" applyFont="1" applyFill="1" applyBorder="1" applyAlignment="1">
      <alignment horizontal="left" vertical="center"/>
    </xf>
    <xf numFmtId="0" fontId="17" fillId="5" borderId="15" xfId="0" applyFont="1" applyFill="1" applyBorder="1" applyAlignment="1">
      <alignment horizontal="left" vertical="center"/>
    </xf>
    <xf numFmtId="0" fontId="2" fillId="0" borderId="19" xfId="0" applyFont="1" applyBorder="1" applyAlignment="1">
      <alignment horizontal="left" vertical="center" wrapText="1"/>
    </xf>
    <xf numFmtId="0" fontId="2" fillId="0" borderId="3" xfId="0" applyFont="1" applyBorder="1" applyAlignment="1">
      <alignment horizontal="left" vertical="center" wrapText="1"/>
    </xf>
    <xf numFmtId="0" fontId="2" fillId="0" borderId="18" xfId="0" applyFont="1" applyBorder="1" applyAlignment="1">
      <alignment horizontal="left" vertical="center" wrapText="1"/>
    </xf>
    <xf numFmtId="0" fontId="2" fillId="0" borderId="20" xfId="0" applyFont="1" applyBorder="1" applyAlignment="1">
      <alignment horizontal="left" vertical="center" wrapText="1"/>
    </xf>
    <xf numFmtId="0" fontId="2" fillId="0" borderId="5" xfId="0" applyFont="1" applyBorder="1" applyAlignment="1">
      <alignment horizontal="left" vertical="center" wrapText="1"/>
    </xf>
    <xf numFmtId="0" fontId="2" fillId="0" borderId="21" xfId="0" applyFont="1" applyBorder="1" applyAlignment="1">
      <alignment horizontal="left" vertical="center" wrapText="1"/>
    </xf>
    <xf numFmtId="0" fontId="17" fillId="5" borderId="8" xfId="0" applyFont="1" applyFill="1" applyBorder="1" applyAlignment="1">
      <alignment horizontal="center"/>
    </xf>
    <xf numFmtId="0" fontId="17" fillId="5" borderId="3" xfId="0" applyFont="1" applyFill="1" applyBorder="1" applyAlignment="1">
      <alignment horizontal="center"/>
    </xf>
    <xf numFmtId="0" fontId="17" fillId="5" borderId="18" xfId="0" applyFont="1" applyFill="1" applyBorder="1" applyAlignment="1">
      <alignment horizontal="center"/>
    </xf>
    <xf numFmtId="0" fontId="4" fillId="0" borderId="0" xfId="0" applyFont="1" applyBorder="1" applyAlignment="1">
      <alignment horizontal="left" vertical="center"/>
    </xf>
    <xf numFmtId="0" fontId="4" fillId="0" borderId="17" xfId="0" applyFont="1" applyBorder="1" applyAlignment="1">
      <alignment horizontal="left" vertical="center"/>
    </xf>
    <xf numFmtId="0" fontId="4" fillId="0" borderId="0" xfId="0" applyFont="1" applyBorder="1" applyAlignment="1">
      <alignment horizontal="left"/>
    </xf>
    <xf numFmtId="0" fontId="4" fillId="0" borderId="17" xfId="0" applyFont="1" applyBorder="1" applyAlignment="1">
      <alignment horizontal="left"/>
    </xf>
    <xf numFmtId="15" fontId="4" fillId="0" borderId="0" xfId="0" applyNumberFormat="1" applyFont="1" applyBorder="1" applyAlignment="1">
      <alignment horizontal="center" vertical="center" wrapText="1"/>
    </xf>
    <xf numFmtId="0" fontId="4" fillId="0" borderId="0" xfId="0" applyFont="1" applyBorder="1" applyAlignment="1">
      <alignment horizontal="center" vertical="center" wrapText="1"/>
    </xf>
    <xf numFmtId="15" fontId="4" fillId="0" borderId="0" xfId="0" applyNumberFormat="1" applyFont="1" applyBorder="1" applyAlignment="1">
      <alignment horizontal="center" vertical="center"/>
    </xf>
    <xf numFmtId="15" fontId="4" fillId="0" borderId="17" xfId="0" applyNumberFormat="1" applyFont="1" applyBorder="1" applyAlignment="1">
      <alignment horizontal="center" vertical="center"/>
    </xf>
    <xf numFmtId="0" fontId="6" fillId="0" borderId="0" xfId="0" applyFont="1" applyBorder="1" applyAlignment="1">
      <alignment horizontal="left" vertical="center"/>
    </xf>
    <xf numFmtId="0" fontId="6" fillId="0" borderId="17" xfId="0" applyFont="1" applyBorder="1" applyAlignment="1">
      <alignment horizontal="left" vertical="center"/>
    </xf>
    <xf numFmtId="164" fontId="4" fillId="0" borderId="0" xfId="0" applyNumberFormat="1" applyFont="1" applyBorder="1" applyAlignment="1">
      <alignment horizontal="left" wrapText="1"/>
    </xf>
    <xf numFmtId="0" fontId="7" fillId="0" borderId="0" xfId="0" applyFont="1" applyBorder="1" applyAlignment="1">
      <alignment horizontal="left"/>
    </xf>
    <xf numFmtId="0" fontId="6" fillId="0" borderId="20" xfId="0" applyFont="1" applyBorder="1" applyAlignment="1">
      <alignment horizontal="center"/>
    </xf>
    <xf numFmtId="0" fontId="6" fillId="0" borderId="5" xfId="0" applyFont="1" applyBorder="1" applyAlignment="1">
      <alignment horizontal="center"/>
    </xf>
    <xf numFmtId="0" fontId="6" fillId="0" borderId="21" xfId="0" applyFont="1" applyBorder="1" applyAlignment="1">
      <alignment horizontal="center"/>
    </xf>
    <xf numFmtId="0" fontId="17" fillId="5" borderId="24" xfId="0" applyFont="1" applyFill="1" applyBorder="1" applyAlignment="1">
      <alignment horizontal="left" wrapText="1"/>
    </xf>
    <xf numFmtId="0" fontId="17" fillId="5" borderId="26" xfId="0" applyFont="1" applyFill="1" applyBorder="1" applyAlignment="1">
      <alignment horizontal="left" wrapText="1"/>
    </xf>
    <xf numFmtId="0" fontId="16" fillId="5" borderId="29" xfId="0" applyFont="1" applyFill="1" applyBorder="1" applyAlignment="1">
      <alignment horizontal="left" vertical="center"/>
    </xf>
    <xf numFmtId="165" fontId="16" fillId="5" borderId="29" xfId="0" applyNumberFormat="1" applyFont="1" applyFill="1" applyBorder="1" applyAlignment="1">
      <alignment horizontal="center" vertical="center"/>
    </xf>
    <xf numFmtId="0" fontId="9" fillId="5" borderId="31" xfId="0" applyFont="1" applyFill="1" applyBorder="1" applyAlignment="1">
      <alignment horizontal="left" vertical="center" wrapText="1"/>
    </xf>
    <xf numFmtId="0" fontId="0" fillId="0" borderId="20" xfId="0" applyBorder="1" applyAlignment="1">
      <alignment horizontal="center"/>
    </xf>
    <xf numFmtId="0" fontId="0" fillId="0" borderId="21" xfId="0" applyBorder="1" applyAlignment="1">
      <alignment horizontal="center"/>
    </xf>
    <xf numFmtId="0" fontId="7" fillId="0" borderId="36" xfId="0" applyFont="1" applyBorder="1"/>
    <xf numFmtId="164" fontId="6" fillId="0" borderId="36" xfId="0" applyNumberFormat="1" applyFont="1" applyBorder="1" applyAlignment="1">
      <alignment horizontal="right" vertical="center"/>
    </xf>
    <xf numFmtId="0" fontId="9" fillId="0" borderId="37" xfId="0" applyFont="1" applyFill="1" applyBorder="1" applyAlignment="1">
      <alignment horizontal="center"/>
    </xf>
    <xf numFmtId="0" fontId="9" fillId="0" borderId="30" xfId="0" applyFont="1" applyFill="1" applyBorder="1" applyAlignment="1">
      <alignment horizontal="center"/>
    </xf>
  </cellXfs>
  <cellStyles count="2">
    <cellStyle name="Hyperlink" xfId="1" builtinId="8"/>
    <cellStyle name="Normal" xfId="0" builtinId="0"/>
  </cellStyles>
  <dxfs count="12">
    <dxf>
      <numFmt numFmtId="165" formatCode="[$€-2]\ #,##0.00"/>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vertical="center" textRotation="0" wrapText="0" indent="0" justifyLastLine="0" shrinkToFit="0" readingOrder="0"/>
      <border diagonalUp="0" diagonalDown="0" outline="0">
        <left/>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border>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9" defaultPivotStyle="PivotStyleLight16"/>
  <colors>
    <mruColors>
      <color rgb="FF1D4ED8"/>
      <color rgb="FFD6EAF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22/11/relationships/FeaturePropertyBag" Target="featurePropertyBag/featurePropertyBag.xml"/><Relationship Id="rId5" Type="http://schemas.openxmlformats.org/officeDocument/2006/relationships/styles" Target="styles.xml"/><Relationship Id="rId4" Type="http://schemas.openxmlformats.org/officeDocument/2006/relationships/theme" Target="theme/theme1.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checked="Checked"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checked="Checked" lockText="1" noThreeD="1"/>
</file>

<file path=xl/ctrlProps/ctrlProp13.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523875</xdr:colOff>
          <xdr:row>44</xdr:row>
          <xdr:rowOff>219075</xdr:rowOff>
        </xdr:from>
        <xdr:to>
          <xdr:col>2</xdr:col>
          <xdr:colOff>66675</xdr:colOff>
          <xdr:row>46</xdr:row>
          <xdr:rowOff>28575</xdr:rowOff>
        </xdr:to>
        <xdr:sp macro="" textlink="">
          <xdr:nvSpPr>
            <xdr:cNvPr id="10241" name="Check Box 1" hidden="1">
              <a:extLst>
                <a:ext uri="{63B3BB69-23CF-44E3-9099-C40C66FF867C}">
                  <a14:compatExt spid="_x0000_s1024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523875</xdr:colOff>
          <xdr:row>45</xdr:row>
          <xdr:rowOff>142875</xdr:rowOff>
        </xdr:from>
        <xdr:to>
          <xdr:col>2</xdr:col>
          <xdr:colOff>57150</xdr:colOff>
          <xdr:row>46</xdr:row>
          <xdr:rowOff>171450</xdr:rowOff>
        </xdr:to>
        <xdr:sp macro="" textlink="">
          <xdr:nvSpPr>
            <xdr:cNvPr id="10242" name="Check Box 2" hidden="1">
              <a:extLst>
                <a:ext uri="{63B3BB69-23CF-44E3-9099-C40C66FF867C}">
                  <a14:compatExt spid="_x0000_s1024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523875</xdr:colOff>
          <xdr:row>47</xdr:row>
          <xdr:rowOff>171450</xdr:rowOff>
        </xdr:from>
        <xdr:to>
          <xdr:col>2</xdr:col>
          <xdr:colOff>66675</xdr:colOff>
          <xdr:row>48</xdr:row>
          <xdr:rowOff>180975</xdr:rowOff>
        </xdr:to>
        <xdr:sp macro="" textlink="">
          <xdr:nvSpPr>
            <xdr:cNvPr id="10243" name="Check Box 3" hidden="1">
              <a:extLst>
                <a:ext uri="{63B3BB69-23CF-44E3-9099-C40C66FF867C}">
                  <a14:compatExt spid="_x0000_s1024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523875</xdr:colOff>
          <xdr:row>48</xdr:row>
          <xdr:rowOff>152400</xdr:rowOff>
        </xdr:from>
        <xdr:to>
          <xdr:col>2</xdr:col>
          <xdr:colOff>57150</xdr:colOff>
          <xdr:row>49</xdr:row>
          <xdr:rowOff>171450</xdr:rowOff>
        </xdr:to>
        <xdr:sp macro="" textlink="">
          <xdr:nvSpPr>
            <xdr:cNvPr id="10244" name="Check Box 4" hidden="1">
              <a:extLst>
                <a:ext uri="{63B3BB69-23CF-44E3-9099-C40C66FF867C}">
                  <a14:compatExt spid="_x0000_s10244"/>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523875</xdr:colOff>
          <xdr:row>49</xdr:row>
          <xdr:rowOff>171450</xdr:rowOff>
        </xdr:from>
        <xdr:to>
          <xdr:col>2</xdr:col>
          <xdr:colOff>57150</xdr:colOff>
          <xdr:row>50</xdr:row>
          <xdr:rowOff>180975</xdr:rowOff>
        </xdr:to>
        <xdr:sp macro="" textlink="">
          <xdr:nvSpPr>
            <xdr:cNvPr id="10245" name="Check Box 5" hidden="1">
              <a:extLst>
                <a:ext uri="{63B3BB69-23CF-44E3-9099-C40C66FF867C}">
                  <a14:compatExt spid="_x0000_s10245"/>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523875</xdr:colOff>
          <xdr:row>50</xdr:row>
          <xdr:rowOff>171450</xdr:rowOff>
        </xdr:from>
        <xdr:to>
          <xdr:col>2</xdr:col>
          <xdr:colOff>57150</xdr:colOff>
          <xdr:row>51</xdr:row>
          <xdr:rowOff>180975</xdr:rowOff>
        </xdr:to>
        <xdr:sp macro="" textlink="">
          <xdr:nvSpPr>
            <xdr:cNvPr id="10246" name="Check Box 6" hidden="1">
              <a:extLst>
                <a:ext uri="{63B3BB69-23CF-44E3-9099-C40C66FF867C}">
                  <a14:compatExt spid="_x0000_s10246"/>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523875</xdr:colOff>
          <xdr:row>51</xdr:row>
          <xdr:rowOff>171450</xdr:rowOff>
        </xdr:from>
        <xdr:to>
          <xdr:col>2</xdr:col>
          <xdr:colOff>57150</xdr:colOff>
          <xdr:row>52</xdr:row>
          <xdr:rowOff>180975</xdr:rowOff>
        </xdr:to>
        <xdr:sp macro="" textlink="">
          <xdr:nvSpPr>
            <xdr:cNvPr id="10247" name="Check Box 7" hidden="1">
              <a:extLst>
                <a:ext uri="{63B3BB69-23CF-44E3-9099-C40C66FF867C}">
                  <a14:compatExt spid="_x0000_s10247"/>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533400</xdr:colOff>
          <xdr:row>52</xdr:row>
          <xdr:rowOff>161925</xdr:rowOff>
        </xdr:from>
        <xdr:to>
          <xdr:col>2</xdr:col>
          <xdr:colOff>57150</xdr:colOff>
          <xdr:row>53</xdr:row>
          <xdr:rowOff>171450</xdr:rowOff>
        </xdr:to>
        <xdr:sp macro="" textlink="">
          <xdr:nvSpPr>
            <xdr:cNvPr id="10248" name="Check Box 8" hidden="1">
              <a:extLst>
                <a:ext uri="{63B3BB69-23CF-44E3-9099-C40C66FF867C}">
                  <a14:compatExt spid="_x0000_s10248"/>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523875</xdr:colOff>
          <xdr:row>53</xdr:row>
          <xdr:rowOff>152400</xdr:rowOff>
        </xdr:from>
        <xdr:to>
          <xdr:col>2</xdr:col>
          <xdr:colOff>57150</xdr:colOff>
          <xdr:row>54</xdr:row>
          <xdr:rowOff>171450</xdr:rowOff>
        </xdr:to>
        <xdr:sp macro="" textlink="">
          <xdr:nvSpPr>
            <xdr:cNvPr id="10249" name="Check Box 9" hidden="1">
              <a:extLst>
                <a:ext uri="{63B3BB69-23CF-44E3-9099-C40C66FF867C}">
                  <a14:compatExt spid="_x0000_s10249"/>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523875</xdr:colOff>
          <xdr:row>46</xdr:row>
          <xdr:rowOff>161925</xdr:rowOff>
        </xdr:from>
        <xdr:to>
          <xdr:col>2</xdr:col>
          <xdr:colOff>66675</xdr:colOff>
          <xdr:row>47</xdr:row>
          <xdr:rowOff>171450</xdr:rowOff>
        </xdr:to>
        <xdr:sp macro="" textlink="">
          <xdr:nvSpPr>
            <xdr:cNvPr id="10250" name="Check Box 10" hidden="1">
              <a:extLst>
                <a:ext uri="{63B3BB69-23CF-44E3-9099-C40C66FF867C}">
                  <a14:compatExt spid="_x0000_s1025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809625</xdr:colOff>
          <xdr:row>7</xdr:row>
          <xdr:rowOff>9525</xdr:rowOff>
        </xdr:from>
        <xdr:to>
          <xdr:col>1</xdr:col>
          <xdr:colOff>971550</xdr:colOff>
          <xdr:row>8</xdr:row>
          <xdr:rowOff>0</xdr:rowOff>
        </xdr:to>
        <xdr:sp macro="" textlink="">
          <xdr:nvSpPr>
            <xdr:cNvPr id="10251" name="Check Box 11" hidden="1">
              <a:extLst>
                <a:ext uri="{63B3BB69-23CF-44E3-9099-C40C66FF867C}">
                  <a14:compatExt spid="_x0000_s10251"/>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857250</xdr:colOff>
          <xdr:row>6</xdr:row>
          <xdr:rowOff>171450</xdr:rowOff>
        </xdr:from>
        <xdr:to>
          <xdr:col>2</xdr:col>
          <xdr:colOff>1552575</xdr:colOff>
          <xdr:row>8</xdr:row>
          <xdr:rowOff>9525</xdr:rowOff>
        </xdr:to>
        <xdr:sp macro="" textlink="">
          <xdr:nvSpPr>
            <xdr:cNvPr id="10252" name="Check Box 12" hidden="1">
              <a:extLst>
                <a:ext uri="{63B3BB69-23CF-44E3-9099-C40C66FF867C}">
                  <a14:compatExt spid="_x0000_s10252"/>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57150</xdr:colOff>
          <xdr:row>8</xdr:row>
          <xdr:rowOff>171450</xdr:rowOff>
        </xdr:from>
        <xdr:to>
          <xdr:col>1</xdr:col>
          <xdr:colOff>219075</xdr:colOff>
          <xdr:row>9</xdr:row>
          <xdr:rowOff>161925</xdr:rowOff>
        </xdr:to>
        <xdr:sp macro="" textlink="">
          <xdr:nvSpPr>
            <xdr:cNvPr id="10253" name="Check Box 13" hidden="1">
              <a:extLst>
                <a:ext uri="{63B3BB69-23CF-44E3-9099-C40C66FF867C}">
                  <a14:compatExt spid="_x0000_s10253"/>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15240</xdr:rowOff>
    </xdr:from>
    <xdr:to>
      <xdr:col>5</xdr:col>
      <xdr:colOff>1295400</xdr:colOff>
      <xdr:row>16</xdr:row>
      <xdr:rowOff>167640</xdr:rowOff>
    </xdr:to>
    <xdr:sp macro="" textlink="">
      <xdr:nvSpPr>
        <xdr:cNvPr id="2" name="TextBox 1"/>
        <xdr:cNvSpPr txBox="1"/>
      </xdr:nvSpPr>
      <xdr:spPr>
        <a:xfrm>
          <a:off x="0" y="196215"/>
          <a:ext cx="9686925" cy="2971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id="1" name="Table1" displayName="Table1" ref="A1:H6" totalsRowShown="0" headerRowDxfId="11" dataDxfId="9" headerRowBorderDxfId="10" tableBorderDxfId="8" totalsRowBorderDxfId="7">
  <tableColumns count="8">
    <tableColumn id="1" name="Sr. No" dataDxfId="6"/>
    <tableColumn id="2" name="Component Name" dataDxfId="5"/>
    <tableColumn id="8" name="Variant" dataDxfId="4"/>
    <tableColumn id="3" name="Description / Use" dataDxfId="3"/>
    <tableColumn id="4" name="Link to Cart" dataCellStyle="Hyperlink"/>
    <tableColumn id="5" name="Quantity" dataDxfId="2"/>
    <tableColumn id="6" name="Unit Price" dataDxfId="1"/>
    <tableColumn id="7" name="Total Price (Euro)" dataDxfId="0">
      <calculatedColumnFormula>F2*G2</calculatedColumnFormula>
    </tableColumn>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G92"/>
  <sheetViews>
    <sheetView tabSelected="1" zoomScaleNormal="100" workbookViewId="0">
      <selection activeCell="G9" sqref="G9"/>
    </sheetView>
  </sheetViews>
  <sheetFormatPr defaultColWidth="9.140625" defaultRowHeight="15" customHeight="1" x14ac:dyDescent="0.2"/>
  <cols>
    <col min="1" max="1" width="37.42578125" style="1" customWidth="1"/>
    <col min="2" max="2" width="17" style="79" customWidth="1"/>
    <col min="3" max="3" width="45.5703125" style="79" customWidth="1"/>
    <col min="4" max="4" width="19.85546875" style="1" customWidth="1"/>
    <col min="5" max="5" width="15.42578125" style="1" customWidth="1"/>
    <col min="6" max="6" width="20" style="1" customWidth="1"/>
    <col min="7" max="16384" width="9.140625" style="1"/>
  </cols>
  <sheetData>
    <row r="1" spans="1:6" ht="30.75" customHeight="1" x14ac:dyDescent="0.2">
      <c r="A1" s="189" t="s">
        <v>0</v>
      </c>
      <c r="B1" s="190"/>
      <c r="C1" s="190"/>
      <c r="D1" s="190"/>
      <c r="E1" s="190"/>
      <c r="F1" s="191"/>
    </row>
    <row r="2" spans="1:6" ht="21" customHeight="1" x14ac:dyDescent="0.2">
      <c r="A2" s="192" t="s">
        <v>1</v>
      </c>
      <c r="B2" s="193"/>
      <c r="C2" s="193"/>
      <c r="D2" s="193"/>
      <c r="E2" s="193"/>
      <c r="F2" s="194"/>
    </row>
    <row r="3" spans="1:6" ht="4.5" hidden="1" customHeight="1" x14ac:dyDescent="0.2">
      <c r="A3" s="195"/>
      <c r="B3" s="196"/>
      <c r="C3" s="196"/>
      <c r="D3" s="196"/>
      <c r="E3" s="196"/>
      <c r="F3" s="197"/>
    </row>
    <row r="4" spans="1:6" ht="15.75" x14ac:dyDescent="0.25">
      <c r="A4" s="37" t="s">
        <v>2</v>
      </c>
      <c r="B4" s="198"/>
      <c r="C4" s="199"/>
      <c r="D4" s="199"/>
      <c r="E4" s="199"/>
      <c r="F4" s="200"/>
    </row>
    <row r="5" spans="1:6" ht="14.25" x14ac:dyDescent="0.2">
      <c r="A5" s="38" t="s">
        <v>3</v>
      </c>
      <c r="B5" s="201" t="s">
        <v>80</v>
      </c>
      <c r="C5" s="201"/>
      <c r="D5" s="201"/>
      <c r="E5" s="201"/>
      <c r="F5" s="202"/>
    </row>
    <row r="6" spans="1:6" ht="14.25" x14ac:dyDescent="0.2">
      <c r="A6" s="39" t="s">
        <v>4</v>
      </c>
      <c r="B6" s="203" t="s">
        <v>82</v>
      </c>
      <c r="C6" s="203"/>
      <c r="D6" s="203"/>
      <c r="E6" s="203"/>
      <c r="F6" s="204"/>
    </row>
    <row r="7" spans="1:6" ht="14.25" x14ac:dyDescent="0.2">
      <c r="A7" s="39" t="s">
        <v>5</v>
      </c>
      <c r="B7" s="205">
        <v>45955</v>
      </c>
      <c r="C7" s="206"/>
      <c r="D7" s="40" t="s">
        <v>6</v>
      </c>
      <c r="E7" s="207">
        <v>46081</v>
      </c>
      <c r="F7" s="208"/>
    </row>
    <row r="8" spans="1:6" ht="14.25" x14ac:dyDescent="0.2">
      <c r="A8" s="5" t="s">
        <v>7</v>
      </c>
      <c r="B8" s="60" t="s">
        <v>8</v>
      </c>
      <c r="C8" s="61" t="s">
        <v>9</v>
      </c>
      <c r="E8" s="209"/>
      <c r="F8" s="210"/>
    </row>
    <row r="9" spans="1:6" ht="14.25" x14ac:dyDescent="0.2">
      <c r="A9" s="39" t="s">
        <v>10</v>
      </c>
      <c r="B9" s="211">
        <v>20.87</v>
      </c>
      <c r="C9" s="211"/>
      <c r="D9" s="212" t="s">
        <v>11</v>
      </c>
      <c r="E9" s="212"/>
      <c r="F9" s="6" t="s">
        <v>81</v>
      </c>
    </row>
    <row r="10" spans="1:6" ht="14.25" x14ac:dyDescent="0.2">
      <c r="A10" s="39" t="s">
        <v>12</v>
      </c>
      <c r="B10" s="62"/>
      <c r="C10" s="63"/>
      <c r="D10" s="41"/>
      <c r="E10" s="41"/>
      <c r="F10" s="42"/>
    </row>
    <row r="11" spans="1:6" ht="14.25" x14ac:dyDescent="0.2">
      <c r="A11" s="213"/>
      <c r="B11" s="214"/>
      <c r="C11" s="214"/>
      <c r="D11" s="214"/>
      <c r="E11" s="214"/>
      <c r="F11" s="215"/>
    </row>
    <row r="12" spans="1:6" ht="15.75" customHeight="1" x14ac:dyDescent="0.25">
      <c r="A12" s="216" t="s">
        <v>13</v>
      </c>
      <c r="B12" s="176"/>
      <c r="C12" s="176"/>
      <c r="D12" s="176"/>
      <c r="E12" s="176"/>
      <c r="F12" s="217"/>
    </row>
    <row r="13" spans="1:6" ht="15" customHeight="1" x14ac:dyDescent="0.2">
      <c r="A13" s="180" t="s">
        <v>83</v>
      </c>
      <c r="B13" s="181"/>
      <c r="C13" s="181"/>
      <c r="D13" s="181"/>
      <c r="E13" s="181"/>
      <c r="F13" s="182"/>
    </row>
    <row r="14" spans="1:6" ht="14.25" customHeight="1" x14ac:dyDescent="0.2">
      <c r="A14" s="183"/>
      <c r="B14" s="184"/>
      <c r="C14" s="184"/>
      <c r="D14" s="184"/>
      <c r="E14" s="184"/>
      <c r="F14" s="185"/>
    </row>
    <row r="15" spans="1:6" ht="14.25" customHeight="1" x14ac:dyDescent="0.2">
      <c r="A15" s="183"/>
      <c r="B15" s="184"/>
      <c r="C15" s="184"/>
      <c r="D15" s="184"/>
      <c r="E15" s="184"/>
      <c r="F15" s="185"/>
    </row>
    <row r="16" spans="1:6" ht="14.25" customHeight="1" x14ac:dyDescent="0.2">
      <c r="A16" s="183"/>
      <c r="B16" s="184"/>
      <c r="C16" s="184"/>
      <c r="D16" s="184"/>
      <c r="E16" s="184"/>
      <c r="F16" s="185"/>
    </row>
    <row r="17" spans="1:6" ht="14.25" customHeight="1" x14ac:dyDescent="0.2">
      <c r="A17" s="183"/>
      <c r="B17" s="184"/>
      <c r="C17" s="184"/>
      <c r="D17" s="184"/>
      <c r="E17" s="184"/>
      <c r="F17" s="185"/>
    </row>
    <row r="18" spans="1:6" ht="14.25" customHeight="1" x14ac:dyDescent="0.2">
      <c r="A18" s="186"/>
      <c r="B18" s="187"/>
      <c r="C18" s="187"/>
      <c r="D18" s="187"/>
      <c r="E18" s="187"/>
      <c r="F18" s="188"/>
    </row>
    <row r="19" spans="1:6" ht="15.75" x14ac:dyDescent="0.25">
      <c r="A19" s="59" t="s">
        <v>14</v>
      </c>
      <c r="B19" s="176" t="s">
        <v>5</v>
      </c>
      <c r="C19" s="177"/>
      <c r="D19" s="58"/>
      <c r="E19" s="178"/>
      <c r="F19" s="179"/>
    </row>
    <row r="20" spans="1:6" s="115" customFormat="1" ht="21" customHeight="1" x14ac:dyDescent="0.25">
      <c r="A20" s="119" t="s">
        <v>106</v>
      </c>
      <c r="B20" s="169" t="s">
        <v>122</v>
      </c>
      <c r="C20" s="170"/>
      <c r="D20" s="43" t="s">
        <v>95</v>
      </c>
      <c r="E20" s="113" t="s">
        <v>16</v>
      </c>
      <c r="F20" s="114" t="s">
        <v>17</v>
      </c>
    </row>
    <row r="21" spans="1:6" ht="69.95" customHeight="1" x14ac:dyDescent="0.2">
      <c r="A21" s="120"/>
      <c r="B21" s="171" t="s">
        <v>107</v>
      </c>
      <c r="C21" s="172"/>
      <c r="D21" s="99">
        <v>12</v>
      </c>
      <c r="E21" s="173" t="s">
        <v>84</v>
      </c>
      <c r="F21" s="98" t="s">
        <v>105</v>
      </c>
    </row>
    <row r="22" spans="1:6" ht="69.95" customHeight="1" x14ac:dyDescent="0.2">
      <c r="A22" s="120"/>
      <c r="B22" s="122" t="s">
        <v>108</v>
      </c>
      <c r="C22" s="123"/>
      <c r="D22" s="100">
        <v>26</v>
      </c>
      <c r="E22" s="174"/>
      <c r="F22" s="98" t="s">
        <v>105</v>
      </c>
    </row>
    <row r="23" spans="1:6" ht="78.75" customHeight="1" x14ac:dyDescent="0.2">
      <c r="A23" s="120"/>
      <c r="B23" s="122" t="s">
        <v>109</v>
      </c>
      <c r="C23" s="123"/>
      <c r="D23" s="100">
        <v>8</v>
      </c>
      <c r="E23" s="174"/>
      <c r="F23" s="98" t="s">
        <v>105</v>
      </c>
    </row>
    <row r="24" spans="1:6" ht="104.25" customHeight="1" x14ac:dyDescent="0.2">
      <c r="A24" s="120"/>
      <c r="B24" s="122" t="s">
        <v>110</v>
      </c>
      <c r="C24" s="123"/>
      <c r="D24" s="100">
        <v>10</v>
      </c>
      <c r="E24" s="174"/>
      <c r="F24" s="98" t="s">
        <v>105</v>
      </c>
    </row>
    <row r="25" spans="1:6" ht="78" customHeight="1" x14ac:dyDescent="0.2">
      <c r="A25" s="120"/>
      <c r="B25" s="122" t="s">
        <v>111</v>
      </c>
      <c r="C25" s="123"/>
      <c r="D25" s="100">
        <v>8</v>
      </c>
      <c r="E25" s="174"/>
      <c r="F25" s="98" t="s">
        <v>105</v>
      </c>
    </row>
    <row r="26" spans="1:6" ht="83.25" customHeight="1" x14ac:dyDescent="0.2">
      <c r="A26" s="121"/>
      <c r="B26" s="122" t="s">
        <v>112</v>
      </c>
      <c r="C26" s="123"/>
      <c r="D26" s="101">
        <v>12</v>
      </c>
      <c r="E26" s="174"/>
      <c r="F26" s="98" t="s">
        <v>105</v>
      </c>
    </row>
    <row r="27" spans="1:6" ht="14.25" x14ac:dyDescent="0.2">
      <c r="A27" s="12"/>
      <c r="B27" s="136" t="s">
        <v>96</v>
      </c>
      <c r="C27" s="137"/>
      <c r="D27" s="44">
        <f>SUM(D21:D26)</f>
        <v>76</v>
      </c>
      <c r="E27" s="175"/>
      <c r="F27" s="45"/>
    </row>
    <row r="28" spans="1:6" s="115" customFormat="1" ht="24.75" customHeight="1" x14ac:dyDescent="0.25">
      <c r="A28" s="119" t="s">
        <v>113</v>
      </c>
      <c r="B28" s="169" t="s">
        <v>122</v>
      </c>
      <c r="C28" s="170"/>
      <c r="D28" s="43" t="s">
        <v>95</v>
      </c>
      <c r="E28" s="113" t="s">
        <v>16</v>
      </c>
      <c r="F28" s="114" t="s">
        <v>17</v>
      </c>
    </row>
    <row r="29" spans="1:6" ht="60.75" customHeight="1" x14ac:dyDescent="0.2">
      <c r="A29" s="120"/>
      <c r="B29" s="122" t="s">
        <v>114</v>
      </c>
      <c r="C29" s="123"/>
      <c r="D29" s="99">
        <v>4</v>
      </c>
      <c r="E29" s="173" t="s">
        <v>117</v>
      </c>
      <c r="F29" s="98" t="s">
        <v>105</v>
      </c>
    </row>
    <row r="30" spans="1:6" ht="96.75" customHeight="1" x14ac:dyDescent="0.2">
      <c r="A30" s="120"/>
      <c r="B30" s="122" t="s">
        <v>115</v>
      </c>
      <c r="C30" s="123"/>
      <c r="D30" s="100">
        <v>14</v>
      </c>
      <c r="E30" s="174"/>
      <c r="F30" s="98" t="s">
        <v>105</v>
      </c>
    </row>
    <row r="31" spans="1:6" ht="80.099999999999994" customHeight="1" x14ac:dyDescent="0.2">
      <c r="A31" s="120"/>
      <c r="B31" s="122" t="s">
        <v>118</v>
      </c>
      <c r="C31" s="123"/>
      <c r="D31" s="100">
        <v>24</v>
      </c>
      <c r="E31" s="174"/>
      <c r="F31" s="98" t="s">
        <v>105</v>
      </c>
    </row>
    <row r="32" spans="1:6" ht="67.5" customHeight="1" x14ac:dyDescent="0.2">
      <c r="A32" s="120"/>
      <c r="B32" s="122" t="s">
        <v>119</v>
      </c>
      <c r="C32" s="123"/>
      <c r="D32" s="100">
        <v>7</v>
      </c>
      <c r="E32" s="174"/>
      <c r="F32" s="98" t="s">
        <v>105</v>
      </c>
    </row>
    <row r="33" spans="1:6" ht="77.25" customHeight="1" x14ac:dyDescent="0.2">
      <c r="A33" s="120"/>
      <c r="B33" s="122" t="s">
        <v>120</v>
      </c>
      <c r="C33" s="123"/>
      <c r="D33" s="100">
        <v>22</v>
      </c>
      <c r="E33" s="174"/>
      <c r="F33" s="98" t="s">
        <v>105</v>
      </c>
    </row>
    <row r="34" spans="1:6" ht="95.25" customHeight="1" x14ac:dyDescent="0.2">
      <c r="A34" s="121"/>
      <c r="B34" s="171" t="s">
        <v>116</v>
      </c>
      <c r="C34" s="172"/>
      <c r="D34" s="101">
        <v>12</v>
      </c>
      <c r="E34" s="174"/>
      <c r="F34" s="98" t="s">
        <v>105</v>
      </c>
    </row>
    <row r="35" spans="1:6" ht="14.25" x14ac:dyDescent="0.2">
      <c r="A35" s="12"/>
      <c r="B35" s="136" t="s">
        <v>97</v>
      </c>
      <c r="C35" s="137"/>
      <c r="D35" s="44">
        <f>SUM(D29:D34)</f>
        <v>83</v>
      </c>
      <c r="E35" s="175"/>
      <c r="F35" s="45"/>
    </row>
    <row r="36" spans="1:6" s="115" customFormat="1" ht="20.25" customHeight="1" x14ac:dyDescent="0.25">
      <c r="A36" s="119" t="s">
        <v>121</v>
      </c>
      <c r="B36" s="169" t="s">
        <v>122</v>
      </c>
      <c r="C36" s="170"/>
      <c r="D36" s="43" t="s">
        <v>95</v>
      </c>
      <c r="E36" s="113" t="s">
        <v>16</v>
      </c>
      <c r="F36" s="114" t="s">
        <v>17</v>
      </c>
    </row>
    <row r="37" spans="1:6" ht="49.5" customHeight="1" x14ac:dyDescent="0.2">
      <c r="A37" s="120"/>
      <c r="B37" s="171" t="s">
        <v>123</v>
      </c>
      <c r="C37" s="172"/>
      <c r="D37" s="99">
        <v>6</v>
      </c>
      <c r="E37" s="173" t="s">
        <v>85</v>
      </c>
      <c r="F37" s="98" t="s">
        <v>105</v>
      </c>
    </row>
    <row r="38" spans="1:6" ht="69.95" customHeight="1" x14ac:dyDescent="0.2">
      <c r="A38" s="120"/>
      <c r="B38" s="171" t="s">
        <v>124</v>
      </c>
      <c r="C38" s="172"/>
      <c r="D38" s="100">
        <v>3</v>
      </c>
      <c r="E38" s="174"/>
      <c r="F38" s="98" t="s">
        <v>105</v>
      </c>
    </row>
    <row r="39" spans="1:6" ht="47.25" customHeight="1" x14ac:dyDescent="0.2">
      <c r="A39" s="120"/>
      <c r="B39" s="171" t="s">
        <v>125</v>
      </c>
      <c r="C39" s="172"/>
      <c r="D39" s="100">
        <v>5</v>
      </c>
      <c r="E39" s="174"/>
      <c r="F39" s="98" t="s">
        <v>105</v>
      </c>
    </row>
    <row r="40" spans="1:6" ht="48" customHeight="1" x14ac:dyDescent="0.2">
      <c r="A40" s="120"/>
      <c r="B40" s="171" t="s">
        <v>126</v>
      </c>
      <c r="C40" s="172"/>
      <c r="D40" s="100">
        <v>2</v>
      </c>
      <c r="E40" s="174"/>
      <c r="F40" s="98" t="s">
        <v>105</v>
      </c>
    </row>
    <row r="41" spans="1:6" ht="67.5" customHeight="1" x14ac:dyDescent="0.2">
      <c r="A41" s="120"/>
      <c r="B41" s="122" t="s">
        <v>127</v>
      </c>
      <c r="C41" s="123"/>
      <c r="D41" s="101">
        <v>8</v>
      </c>
      <c r="E41" s="174"/>
      <c r="F41" s="98" t="s">
        <v>105</v>
      </c>
    </row>
    <row r="42" spans="1:6" ht="53.25" customHeight="1" x14ac:dyDescent="0.2">
      <c r="A42" s="121"/>
      <c r="B42" s="171" t="s">
        <v>128</v>
      </c>
      <c r="C42" s="172"/>
      <c r="D42" s="101">
        <v>1</v>
      </c>
      <c r="E42" s="174"/>
      <c r="F42" s="98" t="s">
        <v>105</v>
      </c>
    </row>
    <row r="43" spans="1:6" ht="14.25" x14ac:dyDescent="0.2">
      <c r="A43" s="12"/>
      <c r="B43" s="136" t="s">
        <v>98</v>
      </c>
      <c r="C43" s="137"/>
      <c r="D43" s="44">
        <f>SUM(D37:D42)</f>
        <v>25</v>
      </c>
      <c r="E43" s="11"/>
      <c r="F43" s="46"/>
    </row>
    <row r="44" spans="1:6" s="2" customFormat="1" ht="14.25" x14ac:dyDescent="0.2">
      <c r="A44" s="138"/>
      <c r="B44" s="139"/>
      <c r="C44" s="139"/>
      <c r="D44" s="139"/>
      <c r="E44" s="139"/>
      <c r="F44" s="140"/>
    </row>
    <row r="45" spans="1:6" ht="19.5" customHeight="1" x14ac:dyDescent="0.25">
      <c r="A45" s="141" t="s">
        <v>20</v>
      </c>
      <c r="B45" s="142"/>
      <c r="C45" s="47" t="s">
        <v>21</v>
      </c>
      <c r="D45" s="143" t="s">
        <v>22</v>
      </c>
      <c r="E45" s="144"/>
      <c r="F45" s="145"/>
    </row>
    <row r="46" spans="1:6" ht="15.2" customHeight="1" x14ac:dyDescent="0.2">
      <c r="A46" s="4" t="s">
        <v>23</v>
      </c>
      <c r="B46" s="64"/>
      <c r="C46" s="65" t="s">
        <v>24</v>
      </c>
      <c r="D46" s="146" t="s">
        <v>25</v>
      </c>
      <c r="E46" s="147"/>
      <c r="F46" s="148"/>
    </row>
    <row r="47" spans="1:6" ht="15.2" customHeight="1" x14ac:dyDescent="0.2">
      <c r="A47" s="4" t="s">
        <v>26</v>
      </c>
      <c r="B47" s="64"/>
      <c r="C47" s="66" t="s">
        <v>94</v>
      </c>
      <c r="D47" s="149"/>
      <c r="E47" s="150"/>
      <c r="F47" s="151"/>
    </row>
    <row r="48" spans="1:6" ht="15.2" customHeight="1" x14ac:dyDescent="0.2">
      <c r="A48" s="4" t="s">
        <v>27</v>
      </c>
      <c r="B48" s="64"/>
      <c r="C48" s="66" t="s">
        <v>92</v>
      </c>
      <c r="D48" s="149"/>
      <c r="E48" s="150"/>
      <c r="F48" s="151"/>
    </row>
    <row r="49" spans="1:6" ht="15.2" customHeight="1" x14ac:dyDescent="0.2">
      <c r="A49" s="4" t="s">
        <v>28</v>
      </c>
      <c r="B49" s="64"/>
      <c r="C49" s="66" t="s">
        <v>29</v>
      </c>
      <c r="D49" s="149"/>
      <c r="E49" s="150"/>
      <c r="F49" s="151"/>
    </row>
    <row r="50" spans="1:6" ht="15.2" customHeight="1" x14ac:dyDescent="0.2">
      <c r="A50" s="4" t="s">
        <v>30</v>
      </c>
      <c r="B50" s="64"/>
      <c r="C50" s="66" t="s">
        <v>93</v>
      </c>
      <c r="D50" s="152"/>
      <c r="E50" s="153"/>
      <c r="F50" s="154"/>
    </row>
    <row r="51" spans="1:6" ht="15.2" customHeight="1" x14ac:dyDescent="0.2">
      <c r="A51" s="4" t="s">
        <v>31</v>
      </c>
      <c r="B51" s="64"/>
      <c r="C51" s="67" t="s">
        <v>32</v>
      </c>
      <c r="D51" s="166" t="s">
        <v>33</v>
      </c>
      <c r="E51" s="167"/>
      <c r="F51" s="168"/>
    </row>
    <row r="52" spans="1:6" ht="15.2" customHeight="1" x14ac:dyDescent="0.2">
      <c r="A52" s="4" t="s">
        <v>34</v>
      </c>
      <c r="B52" s="64"/>
      <c r="C52" s="68" t="s">
        <v>90</v>
      </c>
      <c r="D52" s="130" t="s">
        <v>86</v>
      </c>
      <c r="E52" s="131"/>
      <c r="F52" s="132"/>
    </row>
    <row r="53" spans="1:6" ht="15.2" customHeight="1" x14ac:dyDescent="0.2">
      <c r="A53" s="4" t="s">
        <v>35</v>
      </c>
      <c r="B53" s="64"/>
      <c r="C53" s="68" t="s">
        <v>91</v>
      </c>
      <c r="D53" s="130" t="s">
        <v>89</v>
      </c>
      <c r="E53" s="131"/>
      <c r="F53" s="132"/>
    </row>
    <row r="54" spans="1:6" ht="15.2" customHeight="1" x14ac:dyDescent="0.2">
      <c r="A54" s="4" t="s">
        <v>36</v>
      </c>
      <c r="B54" s="64"/>
      <c r="C54" s="68" t="s">
        <v>88</v>
      </c>
      <c r="D54" s="130" t="s">
        <v>87</v>
      </c>
      <c r="E54" s="131"/>
      <c r="F54" s="132"/>
    </row>
    <row r="55" spans="1:6" ht="15.2" customHeight="1" x14ac:dyDescent="0.2">
      <c r="A55" s="4" t="s">
        <v>37</v>
      </c>
      <c r="B55" s="64"/>
      <c r="C55" s="68"/>
      <c r="D55" s="130"/>
      <c r="E55" s="131"/>
      <c r="F55" s="132"/>
    </row>
    <row r="56" spans="1:6" ht="15.2" customHeight="1" x14ac:dyDescent="0.2">
      <c r="A56" s="133"/>
      <c r="B56" s="134"/>
      <c r="C56" s="134"/>
      <c r="D56" s="134"/>
      <c r="E56" s="134"/>
      <c r="F56" s="135"/>
    </row>
    <row r="57" spans="1:6" ht="15.2" customHeight="1" x14ac:dyDescent="0.2">
      <c r="A57" s="156"/>
      <c r="B57" s="157"/>
      <c r="C57" s="157"/>
      <c r="D57" s="157"/>
      <c r="E57" s="157"/>
      <c r="F57" s="158"/>
    </row>
    <row r="58" spans="1:6" s="3" customFormat="1" ht="21.75" customHeight="1" x14ac:dyDescent="0.2">
      <c r="A58" s="14" t="s">
        <v>99</v>
      </c>
      <c r="B58" s="69"/>
      <c r="C58" s="69"/>
      <c r="D58" s="13"/>
      <c r="E58" s="13"/>
      <c r="F58" s="15"/>
    </row>
    <row r="59" spans="1:6" s="3" customFormat="1" ht="21.75" customHeight="1" x14ac:dyDescent="0.2">
      <c r="A59" s="84" t="s">
        <v>42</v>
      </c>
      <c r="B59" s="85" t="s">
        <v>43</v>
      </c>
      <c r="C59" s="85" t="s">
        <v>44</v>
      </c>
      <c r="D59" s="86" t="s">
        <v>45</v>
      </c>
      <c r="E59" s="87" t="s">
        <v>46</v>
      </c>
      <c r="F59" s="88" t="s">
        <v>47</v>
      </c>
    </row>
    <row r="60" spans="1:6" ht="60.75" customHeight="1" x14ac:dyDescent="0.2">
      <c r="A60" s="89" t="s">
        <v>142</v>
      </c>
      <c r="B60" s="90" t="s">
        <v>143</v>
      </c>
      <c r="C60" s="90" t="s">
        <v>140</v>
      </c>
      <c r="D60" s="82">
        <v>3286</v>
      </c>
      <c r="E60" s="91">
        <v>1</v>
      </c>
      <c r="F60" s="82">
        <f>D60*E60</f>
        <v>3286</v>
      </c>
    </row>
    <row r="61" spans="1:6" ht="85.5" x14ac:dyDescent="0.2">
      <c r="A61" s="89" t="s">
        <v>48</v>
      </c>
      <c r="B61" s="90" t="s">
        <v>49</v>
      </c>
      <c r="C61" s="90" t="s">
        <v>141</v>
      </c>
      <c r="D61" s="82">
        <v>201.8</v>
      </c>
      <c r="E61" s="91">
        <v>1</v>
      </c>
      <c r="F61" s="82">
        <f t="shared" ref="F61" si="0">D61*E61</f>
        <v>201.8</v>
      </c>
    </row>
    <row r="62" spans="1:6" ht="33" customHeight="1" x14ac:dyDescent="0.2">
      <c r="A62" s="92" t="s">
        <v>144</v>
      </c>
      <c r="B62" s="163" t="s">
        <v>147</v>
      </c>
      <c r="C62" s="163"/>
      <c r="D62" s="83">
        <v>3465.12</v>
      </c>
      <c r="E62" s="93" t="s">
        <v>145</v>
      </c>
      <c r="F62" s="83">
        <f>SUM(F60:F61)-D62</f>
        <v>22.680000000000291</v>
      </c>
    </row>
    <row r="63" spans="1:6" customFormat="1" ht="15" customHeight="1" x14ac:dyDescent="0.25">
      <c r="A63" s="221"/>
      <c r="B63" s="162"/>
      <c r="C63" s="162"/>
      <c r="D63" s="162"/>
      <c r="E63" s="162"/>
      <c r="F63" s="222"/>
    </row>
    <row r="64" spans="1:6" ht="15.75" x14ac:dyDescent="0.2">
      <c r="A64" s="124" t="s">
        <v>130</v>
      </c>
      <c r="B64" s="125"/>
      <c r="C64" s="125"/>
      <c r="D64" s="125"/>
      <c r="E64" s="125"/>
      <c r="F64" s="126"/>
    </row>
    <row r="65" spans="1:7" s="3" customFormat="1" ht="21.75" customHeight="1" x14ac:dyDescent="0.2">
      <c r="A65" s="48" t="s">
        <v>136</v>
      </c>
      <c r="B65" s="70" t="s">
        <v>131</v>
      </c>
      <c r="C65" s="164" t="s">
        <v>132</v>
      </c>
      <c r="D65" s="164"/>
      <c r="E65" s="97" t="s">
        <v>103</v>
      </c>
      <c r="F65" s="223" t="s">
        <v>39</v>
      </c>
    </row>
    <row r="66" spans="1:7" ht="24.75" customHeight="1" x14ac:dyDescent="0.2">
      <c r="A66" s="80" t="s">
        <v>137</v>
      </c>
      <c r="B66" s="95">
        <v>45969</v>
      </c>
      <c r="C66" s="165" t="s">
        <v>133</v>
      </c>
      <c r="D66" s="165"/>
      <c r="E66" s="110">
        <v>500</v>
      </c>
      <c r="F66" s="224">
        <v>500</v>
      </c>
    </row>
    <row r="67" spans="1:7" ht="30" customHeight="1" x14ac:dyDescent="0.2">
      <c r="A67" s="81" t="s">
        <v>138</v>
      </c>
      <c r="B67" s="96">
        <v>45974</v>
      </c>
      <c r="C67" s="165" t="s">
        <v>134</v>
      </c>
      <c r="D67" s="165"/>
      <c r="E67" s="111">
        <v>3465.12</v>
      </c>
      <c r="F67" s="112">
        <v>3465.12</v>
      </c>
    </row>
    <row r="68" spans="1:7" ht="42.75" customHeight="1" x14ac:dyDescent="0.2">
      <c r="A68" s="81" t="s">
        <v>139</v>
      </c>
      <c r="B68" s="96">
        <v>45995</v>
      </c>
      <c r="C68" s="165" t="s">
        <v>135</v>
      </c>
      <c r="D68" s="165"/>
      <c r="E68" s="111">
        <v>1452.9</v>
      </c>
      <c r="F68" s="112">
        <v>1452.9</v>
      </c>
      <c r="G68" s="53"/>
    </row>
    <row r="69" spans="1:7" ht="15" customHeight="1" x14ac:dyDescent="0.2">
      <c r="A69" s="56" t="s">
        <v>41</v>
      </c>
      <c r="B69" s="77"/>
      <c r="C69" s="116">
        <f>SUM(C66:C68)</f>
        <v>0</v>
      </c>
      <c r="D69" s="117"/>
      <c r="E69" s="57">
        <f>SUM(E66:E68)</f>
        <v>5418.02</v>
      </c>
      <c r="F69" s="57">
        <f>SUM(F66:F68)</f>
        <v>5418.02</v>
      </c>
    </row>
    <row r="70" spans="1:7" ht="15" customHeight="1" x14ac:dyDescent="0.2">
      <c r="A70" s="159"/>
      <c r="B70" s="160"/>
      <c r="C70" s="160"/>
      <c r="D70" s="160"/>
      <c r="E70" s="160"/>
      <c r="F70" s="161"/>
    </row>
    <row r="71" spans="1:7" ht="15" customHeight="1" x14ac:dyDescent="0.2">
      <c r="A71" s="124" t="s">
        <v>129</v>
      </c>
      <c r="B71" s="125"/>
      <c r="C71" s="125"/>
      <c r="D71" s="125"/>
      <c r="E71" s="125"/>
      <c r="F71" s="126"/>
    </row>
    <row r="72" spans="1:7" ht="15" customHeight="1" x14ac:dyDescent="0.2">
      <c r="A72" s="127" t="s">
        <v>100</v>
      </c>
      <c r="B72" s="128"/>
      <c r="C72" s="128"/>
      <c r="D72" s="128"/>
      <c r="E72" s="128"/>
      <c r="F72" s="129"/>
    </row>
    <row r="73" spans="1:7" ht="15" customHeight="1" x14ac:dyDescent="0.2">
      <c r="A73" s="48" t="s">
        <v>38</v>
      </c>
      <c r="B73" s="70" t="s">
        <v>101</v>
      </c>
      <c r="C73" s="71" t="s">
        <v>102</v>
      </c>
      <c r="D73" s="49" t="s">
        <v>103</v>
      </c>
      <c r="E73" s="50" t="s">
        <v>39</v>
      </c>
      <c r="F73" s="51" t="s">
        <v>40</v>
      </c>
    </row>
    <row r="74" spans="1:7" ht="14.25" x14ac:dyDescent="0.2">
      <c r="A74" s="52" t="s">
        <v>15</v>
      </c>
      <c r="B74" s="72">
        <f>B9</f>
        <v>20.87</v>
      </c>
      <c r="C74" s="73">
        <f>D27</f>
        <v>76</v>
      </c>
      <c r="D74" s="102">
        <f>B74*C74</f>
        <v>1586.1200000000001</v>
      </c>
      <c r="E74" s="103">
        <v>500</v>
      </c>
      <c r="F74" s="104">
        <f>D74-E74</f>
        <v>1086.1200000000001</v>
      </c>
    </row>
    <row r="75" spans="1:7" ht="14.25" x14ac:dyDescent="0.2">
      <c r="A75" s="52" t="s">
        <v>18</v>
      </c>
      <c r="B75" s="72">
        <f>B9</f>
        <v>20.87</v>
      </c>
      <c r="C75" s="73">
        <f>D35</f>
        <v>83</v>
      </c>
      <c r="D75" s="102">
        <f t="shared" ref="D75:D76" si="1">B75*C75</f>
        <v>1732.21</v>
      </c>
      <c r="E75" s="103">
        <v>1452.9</v>
      </c>
      <c r="F75" s="104">
        <f t="shared" ref="F75:F77" si="2">D75-E75</f>
        <v>279.30999999999995</v>
      </c>
    </row>
    <row r="76" spans="1:7" ht="14.25" x14ac:dyDescent="0.2">
      <c r="A76" s="54" t="s">
        <v>19</v>
      </c>
      <c r="B76" s="74">
        <f>B9</f>
        <v>20.87</v>
      </c>
      <c r="C76" s="75">
        <f>D43</f>
        <v>25</v>
      </c>
      <c r="D76" s="105">
        <f t="shared" si="1"/>
        <v>521.75</v>
      </c>
      <c r="E76" s="106"/>
      <c r="F76" s="107">
        <f t="shared" si="2"/>
        <v>521.75</v>
      </c>
    </row>
    <row r="77" spans="1:7" ht="17.25" customHeight="1" x14ac:dyDescent="0.2">
      <c r="A77" s="55" t="s">
        <v>50</v>
      </c>
      <c r="B77" s="76" t="s">
        <v>104</v>
      </c>
      <c r="C77" s="94" t="s">
        <v>146</v>
      </c>
      <c r="D77" s="108">
        <f>F62</f>
        <v>22.680000000000291</v>
      </c>
      <c r="E77" s="108"/>
      <c r="F77" s="108">
        <f t="shared" si="2"/>
        <v>22.680000000000291</v>
      </c>
    </row>
    <row r="78" spans="1:7" ht="15" customHeight="1" x14ac:dyDescent="0.2">
      <c r="A78" s="56" t="s">
        <v>41</v>
      </c>
      <c r="B78" s="77"/>
      <c r="C78" s="78">
        <f>SUM(C74:C76)</f>
        <v>184</v>
      </c>
      <c r="D78" s="109">
        <f>SUM(D74:D77)</f>
        <v>3862.76</v>
      </c>
      <c r="E78" s="109">
        <f>SUM(E74:E76)</f>
        <v>1952.9</v>
      </c>
      <c r="F78" s="109">
        <f>SUM(F74:F77)</f>
        <v>1909.8600000000004</v>
      </c>
    </row>
    <row r="79" spans="1:7" ht="15" customHeight="1" x14ac:dyDescent="0.2">
      <c r="A79" s="225"/>
      <c r="B79" s="118"/>
      <c r="C79" s="118"/>
      <c r="D79" s="118"/>
      <c r="E79" s="118"/>
      <c r="F79" s="226"/>
    </row>
    <row r="80" spans="1:7" ht="15" customHeight="1" x14ac:dyDescent="0.2">
      <c r="A80" s="155" t="s">
        <v>148</v>
      </c>
      <c r="B80" s="155"/>
      <c r="C80" s="155"/>
      <c r="D80" s="155"/>
      <c r="E80" s="155"/>
      <c r="F80" s="155"/>
    </row>
    <row r="81" spans="1:6" ht="15" customHeight="1" x14ac:dyDescent="0.2">
      <c r="A81" s="155"/>
      <c r="B81" s="155"/>
      <c r="C81" s="155"/>
      <c r="D81" s="155"/>
      <c r="E81" s="155"/>
      <c r="F81" s="155"/>
    </row>
    <row r="82" spans="1:6" ht="15" customHeight="1" x14ac:dyDescent="0.2">
      <c r="A82" s="155"/>
      <c r="B82" s="155"/>
      <c r="C82" s="155"/>
      <c r="D82" s="155"/>
      <c r="E82" s="155"/>
      <c r="F82" s="155"/>
    </row>
    <row r="83" spans="1:6" ht="15" customHeight="1" x14ac:dyDescent="0.2">
      <c r="A83" s="155"/>
      <c r="B83" s="155"/>
      <c r="C83" s="155"/>
      <c r="D83" s="155"/>
      <c r="E83" s="155"/>
      <c r="F83" s="155"/>
    </row>
    <row r="84" spans="1:6" ht="15" customHeight="1" x14ac:dyDescent="0.2">
      <c r="A84" s="155"/>
      <c r="B84" s="155"/>
      <c r="C84" s="155"/>
      <c r="D84" s="155"/>
      <c r="E84" s="155"/>
      <c r="F84" s="155"/>
    </row>
    <row r="85" spans="1:6" ht="15" customHeight="1" x14ac:dyDescent="0.2">
      <c r="A85" s="155"/>
      <c r="B85" s="155"/>
      <c r="C85" s="155"/>
      <c r="D85" s="155"/>
      <c r="E85" s="155"/>
      <c r="F85" s="155"/>
    </row>
    <row r="86" spans="1:6" ht="15" customHeight="1" x14ac:dyDescent="0.2">
      <c r="A86" s="155"/>
      <c r="B86" s="155"/>
      <c r="C86" s="155"/>
      <c r="D86" s="155"/>
      <c r="E86" s="155"/>
      <c r="F86" s="155"/>
    </row>
    <row r="87" spans="1:6" ht="15" customHeight="1" x14ac:dyDescent="0.2">
      <c r="A87" s="155"/>
      <c r="B87" s="155"/>
      <c r="C87" s="155"/>
      <c r="D87" s="155"/>
      <c r="E87" s="155"/>
      <c r="F87" s="155"/>
    </row>
    <row r="88" spans="1:6" ht="15" customHeight="1" x14ac:dyDescent="0.2">
      <c r="A88" s="155"/>
      <c r="B88" s="155"/>
      <c r="C88" s="155"/>
      <c r="D88" s="155"/>
      <c r="E88" s="155"/>
      <c r="F88" s="155"/>
    </row>
    <row r="89" spans="1:6" ht="15" customHeight="1" x14ac:dyDescent="0.2">
      <c r="A89" s="155"/>
      <c r="B89" s="155"/>
      <c r="C89" s="155"/>
      <c r="D89" s="155"/>
      <c r="E89" s="155"/>
      <c r="F89" s="155"/>
    </row>
    <row r="90" spans="1:6" ht="15" customHeight="1" x14ac:dyDescent="0.2">
      <c r="A90" s="155"/>
      <c r="B90" s="155"/>
      <c r="C90" s="155"/>
      <c r="D90" s="155"/>
      <c r="E90" s="155"/>
      <c r="F90" s="155"/>
    </row>
    <row r="91" spans="1:6" ht="15" customHeight="1" x14ac:dyDescent="0.2">
      <c r="A91" s="155"/>
      <c r="B91" s="155"/>
      <c r="C91" s="155"/>
      <c r="D91" s="155"/>
      <c r="E91" s="155"/>
      <c r="F91" s="155"/>
    </row>
    <row r="92" spans="1:6" ht="15" customHeight="1" x14ac:dyDescent="0.2">
      <c r="A92" s="155"/>
      <c r="B92" s="155"/>
      <c r="C92" s="155"/>
      <c r="D92" s="155"/>
      <c r="E92" s="155"/>
      <c r="F92" s="155"/>
    </row>
  </sheetData>
  <mergeCells count="69">
    <mergeCell ref="A13:F18"/>
    <mergeCell ref="A1:F1"/>
    <mergeCell ref="A2:F3"/>
    <mergeCell ref="B4:F4"/>
    <mergeCell ref="B5:F5"/>
    <mergeCell ref="B6:F6"/>
    <mergeCell ref="B7:C7"/>
    <mergeCell ref="E7:F7"/>
    <mergeCell ref="E8:F8"/>
    <mergeCell ref="B9:C9"/>
    <mergeCell ref="D9:E9"/>
    <mergeCell ref="A11:F11"/>
    <mergeCell ref="A12:F12"/>
    <mergeCell ref="B19:C19"/>
    <mergeCell ref="E19:F19"/>
    <mergeCell ref="B20:C20"/>
    <mergeCell ref="B21:C21"/>
    <mergeCell ref="E21:E27"/>
    <mergeCell ref="B22:C22"/>
    <mergeCell ref="B24:C24"/>
    <mergeCell ref="B25:C25"/>
    <mergeCell ref="B26:C26"/>
    <mergeCell ref="B27:C27"/>
    <mergeCell ref="A28:A34"/>
    <mergeCell ref="B28:C28"/>
    <mergeCell ref="B29:C29"/>
    <mergeCell ref="E29:E35"/>
    <mergeCell ref="B30:C30"/>
    <mergeCell ref="B32:C32"/>
    <mergeCell ref="B33:C33"/>
    <mergeCell ref="B34:C34"/>
    <mergeCell ref="B35:C35"/>
    <mergeCell ref="A36:A42"/>
    <mergeCell ref="B36:C36"/>
    <mergeCell ref="B37:C37"/>
    <mergeCell ref="E37:E42"/>
    <mergeCell ref="B38:C38"/>
    <mergeCell ref="B39:C39"/>
    <mergeCell ref="B40:C40"/>
    <mergeCell ref="B42:C42"/>
    <mergeCell ref="B41:C41"/>
    <mergeCell ref="D46:F50"/>
    <mergeCell ref="A80:F92"/>
    <mergeCell ref="A57:F57"/>
    <mergeCell ref="A70:F70"/>
    <mergeCell ref="A64:F64"/>
    <mergeCell ref="A63:F63"/>
    <mergeCell ref="B62:C62"/>
    <mergeCell ref="C65:D65"/>
    <mergeCell ref="C66:D66"/>
    <mergeCell ref="C67:D67"/>
    <mergeCell ref="C68:D68"/>
    <mergeCell ref="D51:F51"/>
    <mergeCell ref="C69:D69"/>
    <mergeCell ref="A79:F79"/>
    <mergeCell ref="A20:A26"/>
    <mergeCell ref="B23:C23"/>
    <mergeCell ref="B31:C31"/>
    <mergeCell ref="A71:F71"/>
    <mergeCell ref="A72:F72"/>
    <mergeCell ref="D52:F52"/>
    <mergeCell ref="D53:F53"/>
    <mergeCell ref="D54:F54"/>
    <mergeCell ref="D55:F55"/>
    <mergeCell ref="A56:F56"/>
    <mergeCell ref="B43:C43"/>
    <mergeCell ref="A44:F44"/>
    <mergeCell ref="A45:B45"/>
    <mergeCell ref="D45:F45"/>
  </mergeCells>
  <pageMargins left="0.25" right="0.25" top="0.75" bottom="0.75" header="0.3" footer="0.3"/>
  <pageSetup paperSize="9" scale="63" fitToHeight="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41" r:id="rId4" name="Check Box 1">
              <controlPr defaultSize="0" autoFill="0" autoLine="0" autoPict="0">
                <anchor moveWithCells="1">
                  <from>
                    <xdr:col>1</xdr:col>
                    <xdr:colOff>523875</xdr:colOff>
                    <xdr:row>44</xdr:row>
                    <xdr:rowOff>219075</xdr:rowOff>
                  </from>
                  <to>
                    <xdr:col>2</xdr:col>
                    <xdr:colOff>66675</xdr:colOff>
                    <xdr:row>46</xdr:row>
                    <xdr:rowOff>28575</xdr:rowOff>
                  </to>
                </anchor>
              </controlPr>
            </control>
          </mc:Choice>
        </mc:AlternateContent>
        <mc:AlternateContent xmlns:mc="http://schemas.openxmlformats.org/markup-compatibility/2006">
          <mc:Choice Requires="x14">
            <control shapeId="10242" r:id="rId5" name="Check Box 2">
              <controlPr defaultSize="0" autoFill="0" autoLine="0" autoPict="0">
                <anchor moveWithCells="1">
                  <from>
                    <xdr:col>1</xdr:col>
                    <xdr:colOff>523875</xdr:colOff>
                    <xdr:row>45</xdr:row>
                    <xdr:rowOff>142875</xdr:rowOff>
                  </from>
                  <to>
                    <xdr:col>2</xdr:col>
                    <xdr:colOff>57150</xdr:colOff>
                    <xdr:row>46</xdr:row>
                    <xdr:rowOff>171450</xdr:rowOff>
                  </to>
                </anchor>
              </controlPr>
            </control>
          </mc:Choice>
        </mc:AlternateContent>
        <mc:AlternateContent xmlns:mc="http://schemas.openxmlformats.org/markup-compatibility/2006">
          <mc:Choice Requires="x14">
            <control shapeId="10243" r:id="rId6" name="Check Box 3">
              <controlPr defaultSize="0" autoFill="0" autoLine="0" autoPict="0">
                <anchor moveWithCells="1">
                  <from>
                    <xdr:col>1</xdr:col>
                    <xdr:colOff>523875</xdr:colOff>
                    <xdr:row>47</xdr:row>
                    <xdr:rowOff>171450</xdr:rowOff>
                  </from>
                  <to>
                    <xdr:col>2</xdr:col>
                    <xdr:colOff>66675</xdr:colOff>
                    <xdr:row>48</xdr:row>
                    <xdr:rowOff>180975</xdr:rowOff>
                  </to>
                </anchor>
              </controlPr>
            </control>
          </mc:Choice>
        </mc:AlternateContent>
        <mc:AlternateContent xmlns:mc="http://schemas.openxmlformats.org/markup-compatibility/2006">
          <mc:Choice Requires="x14">
            <control shapeId="10244" r:id="rId7" name="Check Box 4">
              <controlPr defaultSize="0" autoFill="0" autoLine="0" autoPict="0">
                <anchor moveWithCells="1">
                  <from>
                    <xdr:col>1</xdr:col>
                    <xdr:colOff>523875</xdr:colOff>
                    <xdr:row>48</xdr:row>
                    <xdr:rowOff>152400</xdr:rowOff>
                  </from>
                  <to>
                    <xdr:col>2</xdr:col>
                    <xdr:colOff>57150</xdr:colOff>
                    <xdr:row>49</xdr:row>
                    <xdr:rowOff>171450</xdr:rowOff>
                  </to>
                </anchor>
              </controlPr>
            </control>
          </mc:Choice>
        </mc:AlternateContent>
        <mc:AlternateContent xmlns:mc="http://schemas.openxmlformats.org/markup-compatibility/2006">
          <mc:Choice Requires="x14">
            <control shapeId="10245" r:id="rId8" name="Check Box 5">
              <controlPr defaultSize="0" autoFill="0" autoLine="0" autoPict="0">
                <anchor moveWithCells="1">
                  <from>
                    <xdr:col>1</xdr:col>
                    <xdr:colOff>523875</xdr:colOff>
                    <xdr:row>49</xdr:row>
                    <xdr:rowOff>171450</xdr:rowOff>
                  </from>
                  <to>
                    <xdr:col>2</xdr:col>
                    <xdr:colOff>57150</xdr:colOff>
                    <xdr:row>50</xdr:row>
                    <xdr:rowOff>180975</xdr:rowOff>
                  </to>
                </anchor>
              </controlPr>
            </control>
          </mc:Choice>
        </mc:AlternateContent>
        <mc:AlternateContent xmlns:mc="http://schemas.openxmlformats.org/markup-compatibility/2006">
          <mc:Choice Requires="x14">
            <control shapeId="10246" r:id="rId9" name="Check Box 6">
              <controlPr defaultSize="0" autoFill="0" autoLine="0" autoPict="0">
                <anchor moveWithCells="1">
                  <from>
                    <xdr:col>1</xdr:col>
                    <xdr:colOff>523875</xdr:colOff>
                    <xdr:row>50</xdr:row>
                    <xdr:rowOff>171450</xdr:rowOff>
                  </from>
                  <to>
                    <xdr:col>2</xdr:col>
                    <xdr:colOff>57150</xdr:colOff>
                    <xdr:row>51</xdr:row>
                    <xdr:rowOff>180975</xdr:rowOff>
                  </to>
                </anchor>
              </controlPr>
            </control>
          </mc:Choice>
        </mc:AlternateContent>
        <mc:AlternateContent xmlns:mc="http://schemas.openxmlformats.org/markup-compatibility/2006">
          <mc:Choice Requires="x14">
            <control shapeId="10247" r:id="rId10" name="Check Box 7">
              <controlPr defaultSize="0" autoFill="0" autoLine="0" autoPict="0">
                <anchor moveWithCells="1">
                  <from>
                    <xdr:col>1</xdr:col>
                    <xdr:colOff>523875</xdr:colOff>
                    <xdr:row>51</xdr:row>
                    <xdr:rowOff>171450</xdr:rowOff>
                  </from>
                  <to>
                    <xdr:col>2</xdr:col>
                    <xdr:colOff>57150</xdr:colOff>
                    <xdr:row>52</xdr:row>
                    <xdr:rowOff>180975</xdr:rowOff>
                  </to>
                </anchor>
              </controlPr>
            </control>
          </mc:Choice>
        </mc:AlternateContent>
        <mc:AlternateContent xmlns:mc="http://schemas.openxmlformats.org/markup-compatibility/2006">
          <mc:Choice Requires="x14">
            <control shapeId="10248" r:id="rId11" name="Check Box 8">
              <controlPr defaultSize="0" autoFill="0" autoLine="0" autoPict="0">
                <anchor moveWithCells="1">
                  <from>
                    <xdr:col>1</xdr:col>
                    <xdr:colOff>533400</xdr:colOff>
                    <xdr:row>52</xdr:row>
                    <xdr:rowOff>161925</xdr:rowOff>
                  </from>
                  <to>
                    <xdr:col>2</xdr:col>
                    <xdr:colOff>57150</xdr:colOff>
                    <xdr:row>53</xdr:row>
                    <xdr:rowOff>171450</xdr:rowOff>
                  </to>
                </anchor>
              </controlPr>
            </control>
          </mc:Choice>
        </mc:AlternateContent>
        <mc:AlternateContent xmlns:mc="http://schemas.openxmlformats.org/markup-compatibility/2006">
          <mc:Choice Requires="x14">
            <control shapeId="10249" r:id="rId12" name="Check Box 9">
              <controlPr defaultSize="0" autoFill="0" autoLine="0" autoPict="0">
                <anchor moveWithCells="1">
                  <from>
                    <xdr:col>1</xdr:col>
                    <xdr:colOff>523875</xdr:colOff>
                    <xdr:row>53</xdr:row>
                    <xdr:rowOff>152400</xdr:rowOff>
                  </from>
                  <to>
                    <xdr:col>2</xdr:col>
                    <xdr:colOff>57150</xdr:colOff>
                    <xdr:row>54</xdr:row>
                    <xdr:rowOff>171450</xdr:rowOff>
                  </to>
                </anchor>
              </controlPr>
            </control>
          </mc:Choice>
        </mc:AlternateContent>
        <mc:AlternateContent xmlns:mc="http://schemas.openxmlformats.org/markup-compatibility/2006">
          <mc:Choice Requires="x14">
            <control shapeId="10250" r:id="rId13" name="Check Box 10">
              <controlPr defaultSize="0" autoFill="0" autoLine="0" autoPict="0">
                <anchor moveWithCells="1">
                  <from>
                    <xdr:col>1</xdr:col>
                    <xdr:colOff>523875</xdr:colOff>
                    <xdr:row>46</xdr:row>
                    <xdr:rowOff>161925</xdr:rowOff>
                  </from>
                  <to>
                    <xdr:col>2</xdr:col>
                    <xdr:colOff>66675</xdr:colOff>
                    <xdr:row>47</xdr:row>
                    <xdr:rowOff>171450</xdr:rowOff>
                  </to>
                </anchor>
              </controlPr>
            </control>
          </mc:Choice>
        </mc:AlternateContent>
        <mc:AlternateContent xmlns:mc="http://schemas.openxmlformats.org/markup-compatibility/2006">
          <mc:Choice Requires="x14">
            <control shapeId="10251" r:id="rId14" name="Check Box 11">
              <controlPr defaultSize="0" autoFill="0" autoLine="0" autoPict="0">
                <anchor moveWithCells="1">
                  <from>
                    <xdr:col>1</xdr:col>
                    <xdr:colOff>809625</xdr:colOff>
                    <xdr:row>7</xdr:row>
                    <xdr:rowOff>9525</xdr:rowOff>
                  </from>
                  <to>
                    <xdr:col>1</xdr:col>
                    <xdr:colOff>971550</xdr:colOff>
                    <xdr:row>8</xdr:row>
                    <xdr:rowOff>0</xdr:rowOff>
                  </to>
                </anchor>
              </controlPr>
            </control>
          </mc:Choice>
        </mc:AlternateContent>
        <mc:AlternateContent xmlns:mc="http://schemas.openxmlformats.org/markup-compatibility/2006">
          <mc:Choice Requires="x14">
            <control shapeId="10252" r:id="rId15" name="Check Box 12">
              <controlPr defaultSize="0" autoFill="0" autoLine="0" autoPict="0">
                <anchor moveWithCells="1">
                  <from>
                    <xdr:col>2</xdr:col>
                    <xdr:colOff>857250</xdr:colOff>
                    <xdr:row>6</xdr:row>
                    <xdr:rowOff>171450</xdr:rowOff>
                  </from>
                  <to>
                    <xdr:col>2</xdr:col>
                    <xdr:colOff>1552575</xdr:colOff>
                    <xdr:row>8</xdr:row>
                    <xdr:rowOff>9525</xdr:rowOff>
                  </to>
                </anchor>
              </controlPr>
            </control>
          </mc:Choice>
        </mc:AlternateContent>
        <mc:AlternateContent xmlns:mc="http://schemas.openxmlformats.org/markup-compatibility/2006">
          <mc:Choice Requires="x14">
            <control shapeId="10253" r:id="rId16" name="Check Box 13">
              <controlPr defaultSize="0" autoFill="0" autoLine="0" autoPict="0">
                <anchor moveWithCells="1">
                  <from>
                    <xdr:col>1</xdr:col>
                    <xdr:colOff>57150</xdr:colOff>
                    <xdr:row>8</xdr:row>
                    <xdr:rowOff>171450</xdr:rowOff>
                  </from>
                  <to>
                    <xdr:col>1</xdr:col>
                    <xdr:colOff>219075</xdr:colOff>
                    <xdr:row>9</xdr:row>
                    <xdr:rowOff>161925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1"/>
  <sheetViews>
    <sheetView workbookViewId="0">
      <selection activeCell="D26" sqref="D26"/>
    </sheetView>
  </sheetViews>
  <sheetFormatPr defaultColWidth="8.85546875" defaultRowHeight="15" x14ac:dyDescent="0.25"/>
  <cols>
    <col min="1" max="1" width="6.28515625" style="24" customWidth="1"/>
    <col min="2" max="2" width="43.7109375" style="9" customWidth="1"/>
    <col min="3" max="3" width="25.7109375" style="9" customWidth="1"/>
    <col min="4" max="4" width="41.85546875" style="9" customWidth="1"/>
    <col min="5" max="5" width="34.28515625" style="9" customWidth="1"/>
    <col min="6" max="6" width="9.85546875" style="9" customWidth="1"/>
    <col min="7" max="7" width="10.7109375" style="9" customWidth="1"/>
    <col min="8" max="8" width="16.28515625" style="29" customWidth="1"/>
    <col min="9" max="9" width="16.85546875" style="9" customWidth="1"/>
    <col min="10" max="16384" width="8.85546875" style="9"/>
  </cols>
  <sheetData>
    <row r="1" spans="1:11" ht="22.9" customHeight="1" x14ac:dyDescent="0.25">
      <c r="A1" s="30" t="s">
        <v>54</v>
      </c>
      <c r="B1" s="22" t="s">
        <v>51</v>
      </c>
      <c r="C1" s="21" t="s">
        <v>58</v>
      </c>
      <c r="D1" s="22" t="s">
        <v>52</v>
      </c>
      <c r="E1" s="31" t="s">
        <v>60</v>
      </c>
      <c r="F1" s="22" t="s">
        <v>53</v>
      </c>
      <c r="G1" s="32" t="s">
        <v>61</v>
      </c>
      <c r="H1" s="28" t="s">
        <v>62</v>
      </c>
      <c r="I1" s="7"/>
      <c r="J1" s="7"/>
      <c r="K1" s="8"/>
    </row>
    <row r="2" spans="1:11" ht="16.899999999999999" customHeight="1" x14ac:dyDescent="0.25">
      <c r="A2" s="23">
        <v>1</v>
      </c>
      <c r="B2" s="26" t="s">
        <v>63</v>
      </c>
      <c r="C2" s="19" t="s">
        <v>64</v>
      </c>
      <c r="D2" s="19" t="s">
        <v>65</v>
      </c>
      <c r="E2" s="27" t="s">
        <v>66</v>
      </c>
      <c r="F2" s="20">
        <v>1</v>
      </c>
      <c r="G2" s="20">
        <v>10.65</v>
      </c>
      <c r="H2" s="33">
        <f>F2*G2</f>
        <v>10.65</v>
      </c>
      <c r="I2" s="10"/>
      <c r="J2" s="10"/>
      <c r="K2" s="8"/>
    </row>
    <row r="3" spans="1:11" ht="16.899999999999999" customHeight="1" x14ac:dyDescent="0.25">
      <c r="A3" s="23">
        <v>2</v>
      </c>
      <c r="B3" s="20" t="s">
        <v>67</v>
      </c>
      <c r="C3" s="19" t="s">
        <v>68</v>
      </c>
      <c r="D3" s="19" t="s">
        <v>69</v>
      </c>
      <c r="E3" s="27" t="s">
        <v>66</v>
      </c>
      <c r="F3" s="20">
        <v>1</v>
      </c>
      <c r="G3" s="20">
        <v>6.93</v>
      </c>
      <c r="H3" s="33">
        <f t="shared" ref="H3:H5" si="0">F3*G3</f>
        <v>6.93</v>
      </c>
      <c r="I3" s="10"/>
      <c r="J3" s="10"/>
      <c r="K3" s="8"/>
    </row>
    <row r="4" spans="1:11" ht="16.899999999999999" customHeight="1" x14ac:dyDescent="0.25">
      <c r="A4" s="23">
        <v>3</v>
      </c>
      <c r="B4" s="20" t="s">
        <v>70</v>
      </c>
      <c r="C4" s="19" t="s">
        <v>71</v>
      </c>
      <c r="D4" s="19" t="s">
        <v>72</v>
      </c>
      <c r="E4" s="27" t="s">
        <v>66</v>
      </c>
      <c r="F4" s="20">
        <v>1</v>
      </c>
      <c r="G4" s="20">
        <v>9.33</v>
      </c>
      <c r="H4" s="33">
        <f t="shared" si="0"/>
        <v>9.33</v>
      </c>
      <c r="I4" s="10"/>
      <c r="J4" s="10"/>
      <c r="K4" s="8"/>
    </row>
    <row r="5" spans="1:11" ht="16.899999999999999" customHeight="1" x14ac:dyDescent="0.25">
      <c r="A5" s="23">
        <v>4</v>
      </c>
      <c r="B5" s="26" t="s">
        <v>73</v>
      </c>
      <c r="C5" s="19" t="s">
        <v>74</v>
      </c>
      <c r="D5" s="19" t="s">
        <v>75</v>
      </c>
      <c r="E5" s="27" t="s">
        <v>66</v>
      </c>
      <c r="F5" s="20">
        <v>1</v>
      </c>
      <c r="G5" s="20">
        <v>19.690000000000001</v>
      </c>
      <c r="H5" s="33">
        <f t="shared" si="0"/>
        <v>19.690000000000001</v>
      </c>
      <c r="I5" s="10"/>
      <c r="J5" s="10"/>
      <c r="K5" s="8"/>
    </row>
    <row r="6" spans="1:11" ht="16.899999999999999" customHeight="1" x14ac:dyDescent="0.25">
      <c r="A6" s="23">
        <v>5</v>
      </c>
      <c r="B6" s="34" t="s">
        <v>76</v>
      </c>
      <c r="C6" s="25" t="s">
        <v>77</v>
      </c>
      <c r="D6" s="19" t="s">
        <v>78</v>
      </c>
      <c r="E6" s="27" t="s">
        <v>66</v>
      </c>
      <c r="F6" s="20">
        <v>1</v>
      </c>
      <c r="G6" s="25">
        <v>4.25</v>
      </c>
      <c r="H6" s="35">
        <f>F6*G6</f>
        <v>4.25</v>
      </c>
    </row>
    <row r="8" spans="1:11" ht="15.4" customHeight="1" x14ac:dyDescent="0.25">
      <c r="D8" s="218" t="s">
        <v>59</v>
      </c>
      <c r="E8" s="218"/>
      <c r="F8" s="218"/>
      <c r="G8" s="218"/>
      <c r="H8" s="219">
        <f>SUM(H2:H6)</f>
        <v>50.849999999999994</v>
      </c>
    </row>
    <row r="9" spans="1:11" ht="14.65" customHeight="1" x14ac:dyDescent="0.25">
      <c r="D9" s="218"/>
      <c r="E9" s="218"/>
      <c r="F9" s="218"/>
      <c r="G9" s="218"/>
      <c r="H9" s="219"/>
    </row>
    <row r="11" spans="1:11" x14ac:dyDescent="0.25">
      <c r="B11" s="21"/>
      <c r="C11" s="21"/>
      <c r="E11" s="21"/>
    </row>
    <row r="12" spans="1:11" x14ac:dyDescent="0.25">
      <c r="B12" s="20"/>
    </row>
    <row r="13" spans="1:11" ht="15.75" thickBot="1" x14ac:dyDescent="0.3">
      <c r="B13" s="20"/>
    </row>
    <row r="14" spans="1:11" ht="15.75" thickBot="1" x14ac:dyDescent="0.3">
      <c r="B14" s="16" t="s">
        <v>55</v>
      </c>
    </row>
    <row r="15" spans="1:11" ht="15.75" thickBot="1" x14ac:dyDescent="0.3">
      <c r="B15" s="17" t="s">
        <v>56</v>
      </c>
    </row>
    <row r="16" spans="1:11" ht="15.75" thickBot="1" x14ac:dyDescent="0.3">
      <c r="B16" s="18" t="s">
        <v>57</v>
      </c>
    </row>
    <row r="17" spans="2:7" x14ac:dyDescent="0.25">
      <c r="B17" s="20"/>
    </row>
    <row r="18" spans="2:7" x14ac:dyDescent="0.25">
      <c r="B18" s="21"/>
      <c r="C18" s="21"/>
      <c r="D18" s="21"/>
      <c r="E18" s="21"/>
      <c r="F18" s="21"/>
      <c r="G18" s="21"/>
    </row>
    <row r="19" spans="2:7" x14ac:dyDescent="0.25">
      <c r="B19" s="20"/>
      <c r="C19" s="20"/>
      <c r="E19" s="20"/>
      <c r="F19" s="20"/>
      <c r="G19" s="20"/>
    </row>
    <row r="20" spans="2:7" x14ac:dyDescent="0.25">
      <c r="B20" s="20"/>
      <c r="C20" s="20"/>
      <c r="E20" s="20"/>
      <c r="F20" s="20"/>
      <c r="G20" s="20"/>
    </row>
    <row r="21" spans="2:7" x14ac:dyDescent="0.25">
      <c r="B21" s="20"/>
      <c r="C21" s="20"/>
      <c r="E21" s="20"/>
      <c r="F21" s="20"/>
      <c r="G21" s="20"/>
    </row>
    <row r="22" spans="2:7" x14ac:dyDescent="0.25">
      <c r="B22" s="20"/>
      <c r="C22" s="20"/>
      <c r="D22"/>
      <c r="E22" s="20"/>
      <c r="F22" s="20"/>
      <c r="G22" s="20"/>
    </row>
    <row r="23" spans="2:7" x14ac:dyDescent="0.25">
      <c r="B23" s="20"/>
      <c r="C23" s="20"/>
      <c r="D23"/>
      <c r="E23" s="20"/>
      <c r="F23" s="20"/>
      <c r="G23" s="20"/>
    </row>
    <row r="24" spans="2:7" x14ac:dyDescent="0.25">
      <c r="B24" s="20"/>
      <c r="C24" s="20"/>
      <c r="D24" s="27"/>
      <c r="E24" s="20"/>
      <c r="F24" s="20"/>
      <c r="G24" s="20"/>
    </row>
    <row r="25" spans="2:7" x14ac:dyDescent="0.25">
      <c r="B25" s="20"/>
      <c r="C25" s="20"/>
      <c r="D25"/>
      <c r="E25" s="20"/>
      <c r="F25" s="20"/>
      <c r="G25" s="20"/>
    </row>
    <row r="26" spans="2:7" x14ac:dyDescent="0.25">
      <c r="B26" s="20"/>
      <c r="C26" s="20"/>
      <c r="D26"/>
      <c r="E26" s="20"/>
      <c r="F26" s="20"/>
      <c r="G26" s="20"/>
    </row>
    <row r="27" spans="2:7" x14ac:dyDescent="0.25">
      <c r="B27" s="20"/>
      <c r="C27" s="20"/>
      <c r="D27" s="27"/>
      <c r="E27" s="20"/>
      <c r="F27" s="20"/>
      <c r="G27" s="20"/>
    </row>
    <row r="28" spans="2:7" x14ac:dyDescent="0.25">
      <c r="B28" s="20"/>
      <c r="C28" s="20"/>
      <c r="D28"/>
      <c r="E28" s="20"/>
      <c r="F28" s="20"/>
      <c r="G28" s="20"/>
    </row>
    <row r="29" spans="2:7" x14ac:dyDescent="0.25">
      <c r="B29" s="20"/>
      <c r="C29" s="20"/>
      <c r="D29"/>
      <c r="E29" s="20"/>
      <c r="F29" s="20"/>
      <c r="G29" s="20"/>
    </row>
    <row r="30" spans="2:7" x14ac:dyDescent="0.25">
      <c r="B30" s="20"/>
      <c r="C30" s="20"/>
      <c r="E30" s="20"/>
      <c r="F30" s="20"/>
      <c r="G30" s="20"/>
    </row>
    <row r="31" spans="2:7" x14ac:dyDescent="0.25">
      <c r="B31" s="20"/>
      <c r="C31" s="20"/>
      <c r="E31" s="20"/>
      <c r="F31" s="20"/>
      <c r="G31" s="20"/>
    </row>
    <row r="32" spans="2:7" x14ac:dyDescent="0.25">
      <c r="B32" s="20"/>
      <c r="C32" s="20"/>
      <c r="E32" s="20"/>
      <c r="F32" s="20"/>
      <c r="G32" s="20"/>
    </row>
    <row r="33" spans="1:7" x14ac:dyDescent="0.25">
      <c r="B33" s="20"/>
      <c r="C33" s="20"/>
      <c r="E33" s="20"/>
      <c r="F33" s="20"/>
      <c r="G33" s="20"/>
    </row>
    <row r="34" spans="1:7" x14ac:dyDescent="0.25">
      <c r="A34" s="24">
        <v>1</v>
      </c>
      <c r="E34" s="20"/>
      <c r="F34" s="20"/>
      <c r="G34" s="20"/>
    </row>
    <row r="35" spans="1:7" x14ac:dyDescent="0.25">
      <c r="A35" s="24">
        <v>2</v>
      </c>
      <c r="E35" s="20"/>
      <c r="F35" s="20"/>
      <c r="G35" s="20"/>
    </row>
    <row r="36" spans="1:7" x14ac:dyDescent="0.25">
      <c r="A36" s="24">
        <v>3</v>
      </c>
      <c r="E36" s="20"/>
      <c r="F36" s="20"/>
      <c r="G36" s="20"/>
    </row>
    <row r="37" spans="1:7" x14ac:dyDescent="0.25">
      <c r="A37" s="24">
        <v>4</v>
      </c>
      <c r="E37" s="20"/>
      <c r="F37" s="20"/>
      <c r="G37" s="20"/>
    </row>
    <row r="38" spans="1:7" x14ac:dyDescent="0.25">
      <c r="A38" s="24">
        <v>5</v>
      </c>
      <c r="E38" s="20"/>
      <c r="F38" s="20"/>
      <c r="G38" s="20"/>
    </row>
    <row r="39" spans="1:7" x14ac:dyDescent="0.25">
      <c r="A39" s="24">
        <v>6</v>
      </c>
      <c r="E39" s="20"/>
      <c r="F39" s="20"/>
      <c r="G39" s="20"/>
    </row>
    <row r="40" spans="1:7" x14ac:dyDescent="0.25">
      <c r="A40" s="24">
        <v>7</v>
      </c>
      <c r="E40" s="20"/>
      <c r="F40" s="20"/>
      <c r="G40" s="20"/>
    </row>
    <row r="41" spans="1:7" x14ac:dyDescent="0.25">
      <c r="A41" s="24">
        <v>8</v>
      </c>
      <c r="E41" s="20"/>
      <c r="F41" s="20"/>
      <c r="G41" s="20"/>
    </row>
    <row r="42" spans="1:7" x14ac:dyDescent="0.25">
      <c r="A42" s="24">
        <v>9</v>
      </c>
      <c r="E42" s="20"/>
      <c r="F42" s="20"/>
      <c r="G42" s="20"/>
    </row>
    <row r="43" spans="1:7" x14ac:dyDescent="0.25">
      <c r="A43" s="24">
        <v>10</v>
      </c>
    </row>
    <row r="44" spans="1:7" x14ac:dyDescent="0.25">
      <c r="A44" s="24">
        <v>11</v>
      </c>
    </row>
    <row r="45" spans="1:7" x14ac:dyDescent="0.25">
      <c r="A45" s="24">
        <v>12</v>
      </c>
    </row>
    <row r="46" spans="1:7" x14ac:dyDescent="0.25">
      <c r="A46" s="24">
        <v>13</v>
      </c>
    </row>
    <row r="47" spans="1:7" x14ac:dyDescent="0.25">
      <c r="A47" s="24">
        <v>14</v>
      </c>
    </row>
    <row r="48" spans="1:7" x14ac:dyDescent="0.25">
      <c r="A48" s="24">
        <v>15</v>
      </c>
    </row>
    <row r="49" spans="1:1" x14ac:dyDescent="0.25">
      <c r="A49" s="24">
        <v>16</v>
      </c>
    </row>
    <row r="50" spans="1:1" x14ac:dyDescent="0.25">
      <c r="A50" s="24">
        <v>17</v>
      </c>
    </row>
    <row r="51" spans="1:1" x14ac:dyDescent="0.25">
      <c r="A51" s="24">
        <v>18</v>
      </c>
    </row>
    <row r="52" spans="1:1" x14ac:dyDescent="0.25">
      <c r="A52" s="24">
        <v>19</v>
      </c>
    </row>
    <row r="53" spans="1:1" x14ac:dyDescent="0.25">
      <c r="A53" s="24">
        <v>20</v>
      </c>
    </row>
    <row r="54" spans="1:1" x14ac:dyDescent="0.25">
      <c r="A54" s="24">
        <v>21</v>
      </c>
    </row>
    <row r="55" spans="1:1" x14ac:dyDescent="0.25">
      <c r="A55" s="24">
        <v>22</v>
      </c>
    </row>
    <row r="56" spans="1:1" x14ac:dyDescent="0.25">
      <c r="A56" s="24">
        <v>23</v>
      </c>
    </row>
    <row r="57" spans="1:1" x14ac:dyDescent="0.25">
      <c r="A57" s="24">
        <v>24</v>
      </c>
    </row>
    <row r="58" spans="1:1" x14ac:dyDescent="0.25">
      <c r="A58" s="24">
        <v>25</v>
      </c>
    </row>
    <row r="59" spans="1:1" x14ac:dyDescent="0.25">
      <c r="A59" s="24">
        <v>26</v>
      </c>
    </row>
    <row r="60" spans="1:1" x14ac:dyDescent="0.25">
      <c r="A60" s="24">
        <v>27</v>
      </c>
    </row>
    <row r="61" spans="1:1" x14ac:dyDescent="0.25">
      <c r="A61" s="24">
        <v>28</v>
      </c>
    </row>
  </sheetData>
  <mergeCells count="2">
    <mergeCell ref="D8:G9"/>
    <mergeCell ref="H8:H9"/>
  </mergeCell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
  <sheetViews>
    <sheetView workbookViewId="0">
      <selection activeCell="B25" sqref="B25"/>
    </sheetView>
  </sheetViews>
  <sheetFormatPr defaultColWidth="9.140625" defaultRowHeight="15" customHeight="1" x14ac:dyDescent="0.2"/>
  <cols>
    <col min="1" max="1" width="37.42578125" style="1" customWidth="1"/>
    <col min="2" max="2" width="17.85546875" style="1" customWidth="1"/>
    <col min="3" max="3" width="35.28515625" style="1" customWidth="1"/>
    <col min="4" max="4" width="19.85546875" style="1" customWidth="1"/>
    <col min="5" max="5" width="15.42578125" style="1" customWidth="1"/>
    <col min="6" max="6" width="20" style="1" customWidth="1"/>
    <col min="7" max="16384" width="9.140625" style="1"/>
  </cols>
  <sheetData>
    <row r="1" spans="1:9" ht="14.25" x14ac:dyDescent="0.2">
      <c r="A1" s="220" t="s">
        <v>79</v>
      </c>
      <c r="B1" s="220"/>
      <c r="C1" s="220"/>
      <c r="D1" s="220"/>
      <c r="E1" s="220"/>
      <c r="F1" s="220"/>
    </row>
    <row r="2" spans="1:9" ht="14.25" x14ac:dyDescent="0.2">
      <c r="A2" s="36"/>
      <c r="B2" s="36"/>
      <c r="C2" s="36"/>
      <c r="D2" s="36"/>
      <c r="E2" s="36"/>
      <c r="F2" s="36"/>
      <c r="I2" s="1">
        <v>2</v>
      </c>
    </row>
    <row r="3" spans="1:9" ht="14.25" x14ac:dyDescent="0.2">
      <c r="A3" s="36"/>
      <c r="B3" s="36"/>
      <c r="C3" s="36"/>
      <c r="D3" s="36"/>
      <c r="E3" s="36"/>
      <c r="F3" s="36"/>
    </row>
  </sheetData>
  <mergeCells count="1">
    <mergeCell ref="A1:F1"/>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Plant Monitoring Sensor Network</vt:lpstr>
      <vt:lpstr>Component List</vt:lpstr>
      <vt:lpstr>Additional Project Details</vt:lpstr>
      <vt:lpstr>'Plant Monitoring Sensor Network'!Print_Area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HP i7</cp:lastModifiedBy>
  <cp:revision/>
  <cp:lastPrinted>2026-02-15T20:17:44Z</cp:lastPrinted>
  <dcterms:created xsi:type="dcterms:W3CDTF">2025-07-30T18:47:13Z</dcterms:created>
  <dcterms:modified xsi:type="dcterms:W3CDTF">2026-02-15T20:17:46Z</dcterms:modified>
  <cp:category/>
  <cp:contentStatus/>
</cp:coreProperties>
</file>