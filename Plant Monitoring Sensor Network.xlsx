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HP i7\OneDrive\Desktop\Plant Monitoring Sensor Network\"/>
    </mc:Choice>
  </mc:AlternateContent>
  <bookViews>
    <workbookView xWindow="0" yWindow="0" windowWidth="7470" windowHeight="2805" tabRatio="683"/>
  </bookViews>
  <sheets>
    <sheet name="Plant Monitoring Sensor Network" sheetId="12" r:id="rId1"/>
    <sheet name="Component List" sheetId="9" r:id="rId2"/>
    <sheet name="Additional Project Details" sheetId="10" r:id="rId3"/>
  </sheets>
  <definedNames>
    <definedName name="_xlnm.Print_Area" localSheetId="0">'Plant Monitoring Sensor Network'!$A$1:$F$104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2" l="1"/>
  <c r="C77" i="12" s="1"/>
  <c r="E82" i="12"/>
  <c r="B80" i="12"/>
  <c r="B79" i="12"/>
  <c r="B78" i="12"/>
  <c r="B77" i="12"/>
  <c r="F71" i="12"/>
  <c r="F70" i="12"/>
  <c r="F69" i="12"/>
  <c r="F68" i="12"/>
  <c r="F67" i="12"/>
  <c r="F66" i="12"/>
  <c r="F65" i="12"/>
  <c r="F64" i="12"/>
  <c r="F60" i="12"/>
  <c r="C80" i="12" s="1"/>
  <c r="D42" i="12"/>
  <c r="C79" i="12" s="1"/>
  <c r="D35" i="12"/>
  <c r="C78" i="12" s="1"/>
  <c r="D79" i="12" l="1"/>
  <c r="F79" i="12" s="1"/>
  <c r="F72" i="12"/>
  <c r="D81" i="12" s="1"/>
  <c r="F81" i="12" s="1"/>
  <c r="C82" i="12"/>
  <c r="D77" i="12"/>
  <c r="D78" i="12"/>
  <c r="F78" i="12" s="1"/>
  <c r="D80" i="12"/>
  <c r="F80" i="12" s="1"/>
  <c r="H6" i="9"/>
  <c r="H5" i="9"/>
  <c r="H8" i="9" s="1"/>
  <c r="H4" i="9"/>
  <c r="H3" i="9"/>
  <c r="H2" i="9"/>
  <c r="D82" i="12" l="1"/>
  <c r="F77" i="12"/>
  <c r="F82" i="12" s="1"/>
</calcChain>
</file>

<file path=xl/sharedStrings.xml><?xml version="1.0" encoding="utf-8"?>
<sst xmlns="http://schemas.openxmlformats.org/spreadsheetml/2006/main" count="163" uniqueCount="145">
  <si>
    <t>Project Dashboard - Comprehensive Project Tracking System</t>
  </si>
  <si>
    <t>M. Zaeem | Electronics &amp; Embedded Systems Engineer | BSc Electrical Engineering | MSc Autonomous Systems</t>
  </si>
  <si>
    <t>1. Project Basic Information</t>
  </si>
  <si>
    <t>Project Name:</t>
  </si>
  <si>
    <t>Client Name:</t>
  </si>
  <si>
    <t>Start Date:</t>
  </si>
  <si>
    <t>Expected End Date:</t>
  </si>
  <si>
    <t>Pricing Model:</t>
  </si>
  <si>
    <t>Fixed Price</t>
  </si>
  <si>
    <t xml:space="preserve">Hourly Rate </t>
  </si>
  <si>
    <t>Hourly Rate Per Hour ($):</t>
  </si>
  <si>
    <t>Total Project Budget:</t>
  </si>
  <si>
    <t>Payment by Milestone:</t>
  </si>
  <si>
    <t>2. Project Requirements</t>
  </si>
  <si>
    <t xml:space="preserve">3. Project Milestones </t>
  </si>
  <si>
    <t>Milestone 1</t>
  </si>
  <si>
    <t>Task Requirements</t>
  </si>
  <si>
    <t>Description</t>
  </si>
  <si>
    <t>Status</t>
  </si>
  <si>
    <t>Milestone 2</t>
  </si>
  <si>
    <t>Milestone 3</t>
  </si>
  <si>
    <t>4. Key Deliverables</t>
  </si>
  <si>
    <t xml:space="preserve">Additional Requirements </t>
  </si>
  <si>
    <t xml:space="preserve"> Project End Goal and Approval Criteria</t>
  </si>
  <si>
    <t>Sensor Selection</t>
  </si>
  <si>
    <t>Hardware</t>
  </si>
  <si>
    <t>All hardware components functioning to specification
Software meets All requirements with no critical bugs
Client signs off on final deliverables</t>
  </si>
  <si>
    <t>Firmware Development</t>
  </si>
  <si>
    <t>Schematic Drawing</t>
  </si>
  <si>
    <t>PCB Layout</t>
  </si>
  <si>
    <t>Power requirements</t>
  </si>
  <si>
    <t>Gerber Files</t>
  </si>
  <si>
    <t>Bill of Materials (BOM)</t>
  </si>
  <si>
    <t>Software</t>
  </si>
  <si>
    <t>Design</t>
  </si>
  <si>
    <t>PCB Fabrication Ordering</t>
  </si>
  <si>
    <t>PCB Assembly (soldering components)</t>
  </si>
  <si>
    <t>Board Testing</t>
  </si>
  <si>
    <t>3D Enclosure Design</t>
  </si>
  <si>
    <t>Task / Milestone</t>
  </si>
  <si>
    <t>Paid ($)</t>
  </si>
  <si>
    <t>Remaining ($)</t>
  </si>
  <si>
    <t>Total Amount:</t>
  </si>
  <si>
    <r>
      <t xml:space="preserve">Thank you for choosing to work with me. I truly appreciate your trust, and I’ll do my best to bring your idea to life with precision, dedication, and transparency. This spreadsheet has been created to provide a clear overview of project scope, progress, and costs, ensuring full visibility at every step.
</t>
    </r>
    <r>
      <rPr>
        <b/>
        <sz val="11"/>
        <color rgb="FF000000"/>
        <rFont val="Cambria"/>
        <family val="1"/>
        <scheme val="major"/>
      </rPr>
      <t xml:space="preserve">Please Note:
</t>
    </r>
    <r>
      <rPr>
        <sz val="11"/>
        <color rgb="FF000000"/>
        <rFont val="Cambria"/>
        <family val="1"/>
        <scheme val="major"/>
      </rPr>
      <t>The quotation provided does not include external expenses such as:
- Component sourcing (AliExpress, Digi-Key, etc.)
- PCB fabrication or assembly services (e.g., JLCPCB, PCBWay)
- Import duties, VAT, or customs clearance fees
- Packaging or shipping of prototypes
- Specialized tooling or any outsourced service costs
- These costs will be discussed and billed separately if required during the project.
Looking forward to building something great together  from concept to completion, I'm here as your technical partner.
Warm regards,
M. Zaeem
Electronics &amp; Embedded Systems Engineer</t>
    </r>
  </si>
  <si>
    <t>Item / Description</t>
  </si>
  <si>
    <t>Category</t>
  </si>
  <si>
    <t>Notes</t>
  </si>
  <si>
    <t>Cost per Unit ($)</t>
  </si>
  <si>
    <t>Units</t>
  </si>
  <si>
    <t>Total ($)</t>
  </si>
  <si>
    <t>PCB Fabrication (JLCPCB)</t>
  </si>
  <si>
    <t>Fabrication</t>
  </si>
  <si>
    <t>Customs VAT</t>
  </si>
  <si>
    <t>Customs/Tax</t>
  </si>
  <si>
    <t>Enclosure Printing</t>
  </si>
  <si>
    <t>Outsourcing</t>
  </si>
  <si>
    <t>PCB Assembly</t>
  </si>
  <si>
    <t>Assembly Service</t>
  </si>
  <si>
    <t>Components</t>
  </si>
  <si>
    <t>Components LCSC</t>
  </si>
  <si>
    <t>Unit Testing Labor</t>
  </si>
  <si>
    <t>Testing</t>
  </si>
  <si>
    <t>Delivery to Client</t>
  </si>
  <si>
    <t>Logistics</t>
  </si>
  <si>
    <t xml:space="preserve">Others </t>
  </si>
  <si>
    <t>Total Cost:</t>
  </si>
  <si>
    <t>Additional Expenses</t>
  </si>
  <si>
    <t>Component Name</t>
  </si>
  <si>
    <t>Description / Use</t>
  </si>
  <si>
    <t>Quantity</t>
  </si>
  <si>
    <t>Sr. No</t>
  </si>
  <si>
    <t>Not shipped is red</t>
  </si>
  <si>
    <t>Shipped is yellow</t>
  </si>
  <si>
    <t>Arrived is green</t>
  </si>
  <si>
    <t>Finalize System Architecture</t>
  </si>
  <si>
    <t xml:space="preserve">Finalising Components and Create Shopping List </t>
  </si>
  <si>
    <t>Variant</t>
  </si>
  <si>
    <t xml:space="preserve">Aproximate Bill of Materials = </t>
  </si>
  <si>
    <t>Link to Cart</t>
  </si>
  <si>
    <t>Unit Price</t>
  </si>
  <si>
    <t>Total Price (Euro)</t>
  </si>
  <si>
    <t>LSM6DSO32 6-DOF Accelerometer Adafruit</t>
  </si>
  <si>
    <t>1528-4692-ND</t>
  </si>
  <si>
    <t>Measures acceleration and rotation.</t>
  </si>
  <si>
    <t>https://www.digikey.fi/short/0h7tf7fn</t>
  </si>
  <si>
    <t xml:space="preserve">nRF52840 Module with Antenna </t>
  </si>
  <si>
    <t>672-NINA-B306-01BCT-ND</t>
  </si>
  <si>
    <t>Bluetooth wireless module for for prototyping.</t>
  </si>
  <si>
    <t>BMP390 Precision Barometric Sensor Adafruit</t>
  </si>
  <si>
    <t>1528-4816-ND</t>
  </si>
  <si>
    <t>Measures altitude via pressure.</t>
  </si>
  <si>
    <t>Nano 33 BLE Rev2 Arduino</t>
  </si>
  <si>
    <t>1050-ABX00071-ND</t>
  </si>
  <si>
    <t>Microcontroller for prototyping.</t>
  </si>
  <si>
    <t>Seeed Studio XIAO ESP32C3</t>
  </si>
  <si>
    <t>1597-113991054-ND</t>
  </si>
  <si>
    <t>Backup Option Microcontroller for prototyping.</t>
  </si>
  <si>
    <t>Additional Project Information</t>
  </si>
  <si>
    <t xml:space="preserve">Plant Monitoring Sensor Network </t>
  </si>
  <si>
    <t>5000$</t>
  </si>
  <si>
    <t>John bambery</t>
  </si>
  <si>
    <r>
      <rPr>
        <b/>
        <sz val="11"/>
        <rFont val="Cambria"/>
        <family val="1"/>
        <scheme val="major"/>
      </rPr>
      <t>Project Requirements:</t>
    </r>
    <r>
      <rPr>
        <sz val="11"/>
        <rFont val="Cambria"/>
        <family val="1"/>
        <scheme val="major"/>
      </rPr>
      <t xml:space="preserve">
The project involves designing and building an MVP prototype of a multi-modal plant monitoring system. It includes two battery-powered, weatherproof sensor nodes integrating environmental sensors (soil moisture, temperature, humidity, light, pH, atmospheric pressure) and plant communication sensors (bioelectric potential, VOCs, IR leaf temperature, optional ultrasonic). Each node must support data collection, logging, and LoRa transmission, with firmware for sensor calibration, power management, and basic visualization.</t>
    </r>
  </si>
  <si>
    <t xml:space="preserve">Firmware Development with sensor interation </t>
  </si>
  <si>
    <t>Complete manuals, diagrams, and assembly instructions.</t>
  </si>
  <si>
    <t>Breadboard testing with Sensors (solderless)</t>
  </si>
  <si>
    <t>Real-World Unit Testing (Minimal Functionalities ofline Version)</t>
  </si>
  <si>
    <t>Integrate battery &amp; solar backup</t>
  </si>
  <si>
    <t>Add LoRa &amp; IoT functionality</t>
  </si>
  <si>
    <t xml:space="preserve">Develop central node / desktop backend for data preprocessing </t>
  </si>
  <si>
    <t xml:space="preserve">Assemble waterproof enclosure &amp; place sensors </t>
  </si>
  <si>
    <t>Firmware enhancement (calibration, buffering, power management)</t>
  </si>
  <si>
    <t>PCB assembly &amp; solder components (Adding Indicators on Enclosure)</t>
  </si>
  <si>
    <t>System integration (hardware + firmware + sensors)</t>
  </si>
  <si>
    <t>End-to-end testing (sensors, battery, LoRa, visualization)</t>
  </si>
  <si>
    <t>Complete documentation (manuals, diagrams, instructions)</t>
  </si>
  <si>
    <t>Deliver final project to client</t>
  </si>
  <si>
    <t>Planning &amp; Initial Testing</t>
  </si>
  <si>
    <t>Power &amp; Connectivity (IoT or LORA)</t>
  </si>
  <si>
    <t>Final Assembly &amp; Delivery</t>
  </si>
  <si>
    <t>IP67 weatherproof enclosure</t>
  </si>
  <si>
    <t>Corrosion-resistant materials</t>
  </si>
  <si>
    <t>LED status indicators</t>
  </si>
  <si>
    <t>Outdoor mounting system and Compact modular design</t>
  </si>
  <si>
    <t>Firmware sensor integration</t>
  </si>
  <si>
    <t>Sensor calibration option</t>
  </si>
  <si>
    <t>Assembled sensor nodes</t>
  </si>
  <si>
    <t>Solar battery system</t>
  </si>
  <si>
    <t xml:space="preserve">LoRa communication or WIFI </t>
  </si>
  <si>
    <t xml:space="preserve">Hours Spent </t>
  </si>
  <si>
    <t xml:space="preserve">Milestone 1 Hours : </t>
  </si>
  <si>
    <t xml:space="preserve">Milestone 2 Hours : </t>
  </si>
  <si>
    <t xml:space="preserve">Milestone 3 Hours : </t>
  </si>
  <si>
    <t>5. Unallocated Task Time Tracking</t>
  </si>
  <si>
    <t>Task Description</t>
  </si>
  <si>
    <t>Hours:</t>
  </si>
  <si>
    <t>6. Additional Expenses :</t>
  </si>
  <si>
    <t>7. Payment Section</t>
  </si>
  <si>
    <t>Hourly Payments</t>
  </si>
  <si>
    <t>Rate ($/hr)</t>
  </si>
  <si>
    <t>Hours Worked</t>
  </si>
  <si>
    <t>Amount ($)</t>
  </si>
  <si>
    <t>Extra Tasks (Unallocated)</t>
  </si>
  <si>
    <t xml:space="preserve">Nil </t>
  </si>
  <si>
    <t>Nil</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</si>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</sst>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2]\ #,##0.00"/>
  </numFmts>
  <fonts count="21" x14ac:knownFonts="1">
    <font>
      <sz val="11"/>
      <color theme="1"/>
      <name val="Calibri"/>
      <family val="2"/>
      <scheme val="minor"/>
    </font>
    <font>
      <sz val="11"/>
      <color theme="1"/>
      <name val="Cambria"/>
      <family val="1"/>
    </font>
    <font>
      <i/>
      <sz val="11"/>
      <color rgb="FF7F8C8D"/>
      <name val="Cambria"/>
      <family val="1"/>
      <scheme val="major"/>
    </font>
    <font>
      <b/>
      <sz val="11"/>
      <name val="Cambria"/>
      <family val="1"/>
      <scheme val="major"/>
    </font>
    <font>
      <sz val="11"/>
      <name val="Cambria"/>
      <family val="1"/>
      <scheme val="major"/>
    </font>
    <font>
      <b/>
      <sz val="11"/>
      <color theme="1"/>
      <name val="Cambria"/>
      <family val="1"/>
      <scheme val="major"/>
    </font>
    <font>
      <sz val="11"/>
      <color theme="1"/>
      <name val="Cambria"/>
      <family val="1"/>
      <scheme val="major"/>
    </font>
    <font>
      <b/>
      <sz val="11"/>
      <color rgb="FF000000"/>
      <name val="Cambria"/>
      <family val="1"/>
      <scheme val="major"/>
    </font>
    <font>
      <b/>
      <sz val="11"/>
      <color rgb="FF1D4ED8"/>
      <name val="Cambria"/>
      <family val="1"/>
      <scheme val="major"/>
    </font>
    <font>
      <b/>
      <sz val="11"/>
      <color theme="0"/>
      <name val="Cambria"/>
      <family val="1"/>
      <scheme val="major"/>
    </font>
    <font>
      <sz val="11"/>
      <color theme="0"/>
      <name val="Cambria"/>
      <family val="1"/>
      <scheme val="major"/>
    </font>
    <font>
      <sz val="11"/>
      <color rgb="FF000000"/>
      <name val="Cambria"/>
      <family val="1"/>
      <scheme val="major"/>
    </font>
    <font>
      <sz val="11"/>
      <color rgb="FF1D4ED8"/>
      <name val="Cambria"/>
      <family val="1"/>
      <scheme val="major"/>
    </font>
    <font>
      <b/>
      <sz val="11"/>
      <color rgb="FFFFFFFF"/>
      <name val="Cambria"/>
      <family val="1"/>
      <scheme val="major"/>
    </font>
    <font>
      <b/>
      <sz val="11"/>
      <color theme="1"/>
      <name val="Calibri"/>
      <family val="2"/>
      <scheme val="minor"/>
    </font>
    <font>
      <u/>
      <sz val="11"/>
      <color theme="10"/>
      <name val="Calibri"/>
      <family val="2"/>
      <scheme val="minor"/>
    </font>
    <font>
      <sz val="10"/>
      <color theme="1"/>
      <name val="Arial"/>
      <family val="2"/>
    </font>
    <font>
      <b/>
      <sz val="16"/>
      <color theme="0"/>
      <name val="Calibri"/>
      <family val="2"/>
      <scheme val="minor"/>
    </font>
    <font>
      <b/>
      <sz val="12"/>
      <color theme="0"/>
      <name val="Cambria"/>
      <family val="1"/>
      <scheme val="major"/>
    </font>
    <font>
      <b/>
      <sz val="11"/>
      <color theme="7"/>
      <name val="Cambria"/>
      <family val="1"/>
      <scheme val="major"/>
    </font>
    <font>
      <b/>
      <sz val="12"/>
      <color theme="1"/>
      <name val="Cambria"/>
      <family val="1"/>
      <scheme val="maj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7"/>
        <bgColor indexed="64"/>
      </patternFill>
    </fill>
    <fill>
      <patternFill patternType="solid">
        <fgColor rgb="FF34A853"/>
        <bgColor indexed="64"/>
      </patternFill>
    </fill>
  </fills>
  <borders count="4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rgb="FF000000"/>
      </left>
      <right style="thin">
        <color indexed="64"/>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15" fillId="0" borderId="0" applyNumberFormat="0" applyFill="0" applyBorder="0" applyAlignment="0" applyProtection="0"/>
  </cellStyleXfs>
  <cellXfs count="225">
    <xf numFmtId="0" fontId="0" fillId="0" borderId="0" xfId="0"/>
    <xf numFmtId="0" fontId="1" fillId="0" borderId="0" xfId="0" applyFont="1" applyBorder="1"/>
    <xf numFmtId="0" fontId="1" fillId="0" borderId="0" xfId="0" applyFont="1" applyFill="1" applyBorder="1"/>
    <xf numFmtId="0" fontId="1" fillId="0" borderId="0" xfId="0" applyFont="1" applyBorder="1" applyAlignment="1"/>
    <xf numFmtId="0" fontId="3" fillId="0" borderId="7" xfId="0" applyFont="1" applyFill="1" applyBorder="1" applyAlignment="1">
      <alignment vertical="center"/>
    </xf>
    <xf numFmtId="0" fontId="5" fillId="0" borderId="0" xfId="0" applyFont="1" applyBorder="1" applyAlignment="1">
      <alignment horizontal="left" vertical="center"/>
    </xf>
    <xf numFmtId="0" fontId="5" fillId="0" borderId="0" xfId="0" applyFont="1" applyBorder="1" applyAlignment="1">
      <alignment horizontal="left" vertical="center"/>
      <extLst>
        <ext xmlns:xfpb="http://schemas.microsoft.com/office/spreadsheetml/2022/featurepropertybag" uri="{C7286773-470A-42A8-94C5-96B5CB345126}">
          <xfpb:xfComplement i="0"/>
        </ext>
      </extLst>
    </xf>
    <xf numFmtId="0" fontId="5" fillId="0" borderId="7" xfId="0" applyFont="1" applyBorder="1" applyAlignment="1">
      <alignment vertical="center"/>
    </xf>
    <xf numFmtId="0" fontId="5" fillId="0" borderId="7" xfId="0" applyFont="1" applyBorder="1" applyAlignment="1">
      <alignment horizontal="center" vertical="center"/>
    </xf>
    <xf numFmtId="0" fontId="6" fillId="0" borderId="7" xfId="0" applyFont="1" applyBorder="1" applyAlignment="1">
      <alignment vertical="center"/>
    </xf>
    <xf numFmtId="164" fontId="6" fillId="0" borderId="7" xfId="0" applyNumberFormat="1" applyFont="1" applyBorder="1" applyAlignment="1">
      <alignment horizontal="center" vertical="center"/>
    </xf>
    <xf numFmtId="0" fontId="6" fillId="0" borderId="6" xfId="0" applyFont="1" applyBorder="1" applyAlignment="1">
      <alignment vertical="center"/>
    </xf>
    <xf numFmtId="0" fontId="6" fillId="0" borderId="10" xfId="0" applyFont="1" applyBorder="1" applyAlignment="1">
      <alignment vertical="center"/>
    </xf>
    <xf numFmtId="0" fontId="4" fillId="0" borderId="25" xfId="0" applyFont="1" applyBorder="1" applyAlignment="1">
      <alignment vertical="center"/>
    </xf>
    <xf numFmtId="0" fontId="3" fillId="0" borderId="17" xfId="0" applyFont="1" applyBorder="1" applyAlignment="1">
      <alignment vertical="center"/>
    </xf>
    <xf numFmtId="164" fontId="4" fillId="0" borderId="18" xfId="0" applyNumberFormat="1" applyFont="1" applyBorder="1" applyAlignment="1">
      <alignment horizontal="center" vertical="center"/>
    </xf>
    <xf numFmtId="0" fontId="5" fillId="0" borderId="23" xfId="0" applyFont="1"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vertical="center"/>
    </xf>
    <xf numFmtId="0" fontId="6" fillId="0" borderId="28" xfId="0" applyFont="1" applyBorder="1" applyAlignment="1">
      <alignment vertical="center" wrapText="1"/>
    </xf>
    <xf numFmtId="0" fontId="14" fillId="0" borderId="0" xfId="0" applyFont="1" applyBorder="1" applyAlignment="1">
      <alignment horizontal="center" vertical="center"/>
    </xf>
    <xf numFmtId="0" fontId="0" fillId="0" borderId="0" xfId="0" applyBorder="1" applyAlignment="1"/>
    <xf numFmtId="0" fontId="0" fillId="0" borderId="0" xfId="0" applyBorder="1"/>
    <xf numFmtId="0" fontId="0" fillId="0" borderId="0" xfId="0" applyBorder="1" applyAlignment="1">
      <alignment vertical="center"/>
    </xf>
    <xf numFmtId="0" fontId="6" fillId="5" borderId="10" xfId="0" applyFont="1" applyFill="1" applyBorder="1" applyAlignment="1">
      <alignment horizontal="center" vertical="center" wrapText="1"/>
    </xf>
    <xf numFmtId="0" fontId="8" fillId="5" borderId="25" xfId="0" applyFont="1" applyFill="1" applyBorder="1" applyAlignment="1">
      <alignment horizontal="center" vertical="center"/>
    </xf>
    <xf numFmtId="0" fontId="10" fillId="5" borderId="3" xfId="0" applyFont="1" applyFill="1" applyBorder="1" applyAlignment="1">
      <alignment horizontal="left" vertical="center"/>
    </xf>
    <xf numFmtId="0" fontId="13" fillId="5" borderId="20" xfId="0" applyFont="1" applyFill="1" applyBorder="1" applyAlignment="1">
      <alignment horizontal="left" vertical="center"/>
    </xf>
    <xf numFmtId="0" fontId="10" fillId="5" borderId="19" xfId="0" applyFont="1" applyFill="1" applyBorder="1" applyAlignment="1">
      <alignment horizontal="left" vertical="center"/>
    </xf>
    <xf numFmtId="49" fontId="8" fillId="5" borderId="10" xfId="0" applyNumberFormat="1" applyFont="1" applyFill="1" applyBorder="1" applyAlignment="1">
      <alignment vertical="center"/>
    </xf>
    <xf numFmtId="0" fontId="8" fillId="5" borderId="6" xfId="0" applyFont="1" applyFill="1" applyBorder="1" applyAlignment="1">
      <alignment vertical="center"/>
    </xf>
    <xf numFmtId="0" fontId="12" fillId="5" borderId="28" xfId="0" applyFont="1" applyFill="1" applyBorder="1" applyAlignment="1">
      <alignment vertical="center"/>
    </xf>
    <xf numFmtId="164" fontId="9" fillId="5" borderId="4" xfId="0" applyNumberFormat="1" applyFont="1" applyFill="1" applyBorder="1" applyAlignment="1">
      <alignment vertical="center"/>
    </xf>
    <xf numFmtId="0" fontId="16" fillId="3" borderId="33" xfId="0" applyFont="1" applyFill="1" applyBorder="1" applyAlignment="1">
      <alignment wrapText="1"/>
    </xf>
    <xf numFmtId="0" fontId="16" fillId="4" borderId="33" xfId="0" applyFont="1" applyFill="1" applyBorder="1" applyAlignment="1">
      <alignment wrapText="1"/>
    </xf>
    <xf numFmtId="0" fontId="16" fillId="6" borderId="33" xfId="0" applyFont="1" applyFill="1" applyBorder="1" applyAlignment="1">
      <alignment wrapText="1"/>
    </xf>
    <xf numFmtId="0" fontId="0" fillId="0" borderId="30" xfId="0" applyBorder="1" applyAlignment="1">
      <alignment vertical="center" wrapText="1"/>
    </xf>
    <xf numFmtId="0" fontId="0" fillId="0" borderId="0" xfId="0" applyAlignment="1">
      <alignment vertical="center" wrapText="1"/>
    </xf>
    <xf numFmtId="0" fontId="14" fillId="0" borderId="0" xfId="0" applyFont="1" applyAlignment="1">
      <alignment horizontal="center" vertical="center" wrapText="1"/>
    </xf>
    <xf numFmtId="0" fontId="14" fillId="0" borderId="34" xfId="0" applyFont="1" applyBorder="1" applyAlignment="1">
      <alignment horizontal="left" vertical="center"/>
    </xf>
    <xf numFmtId="0" fontId="0" fillId="0" borderId="31" xfId="0" applyBorder="1" applyAlignment="1">
      <alignment horizontal="right" vertical="center"/>
    </xf>
    <xf numFmtId="0" fontId="0" fillId="0" borderId="0" xfId="0" applyBorder="1" applyAlignment="1">
      <alignment horizontal="right"/>
    </xf>
    <xf numFmtId="0" fontId="0" fillId="0" borderId="32" xfId="0" applyBorder="1" applyAlignment="1">
      <alignment vertical="center" wrapText="1"/>
    </xf>
    <xf numFmtId="0" fontId="0" fillId="0" borderId="30" xfId="0" applyFont="1" applyBorder="1" applyAlignment="1">
      <alignment horizontal="left" vertical="top" wrapText="1"/>
    </xf>
    <xf numFmtId="0" fontId="15" fillId="0" borderId="0" xfId="1"/>
    <xf numFmtId="164" fontId="14" fillId="0" borderId="17" xfId="0" applyNumberFormat="1" applyFont="1" applyBorder="1" applyAlignment="1">
      <alignment horizontal="left" vertical="center"/>
    </xf>
    <xf numFmtId="164" fontId="0" fillId="0" borderId="0" xfId="0" applyNumberFormat="1" applyBorder="1"/>
    <xf numFmtId="0" fontId="14" fillId="0" borderId="29" xfId="0" applyFont="1" applyBorder="1" applyAlignment="1">
      <alignment horizontal="right" vertical="center" wrapText="1"/>
    </xf>
    <xf numFmtId="0" fontId="14" fillId="0" borderId="34" xfId="0" applyFont="1" applyBorder="1" applyAlignment="1">
      <alignment horizontal="center" vertical="center" wrapText="1"/>
    </xf>
    <xf numFmtId="0" fontId="14" fillId="0" borderId="34" xfId="0" applyFont="1" applyBorder="1" applyAlignment="1">
      <alignment horizontal="center" vertical="center"/>
    </xf>
    <xf numFmtId="165" fontId="0" fillId="0" borderId="30" xfId="0" applyNumberFormat="1" applyBorder="1" applyAlignment="1">
      <alignment vertical="center"/>
    </xf>
    <xf numFmtId="0" fontId="0" fillId="0" borderId="32" xfId="0" applyBorder="1" applyAlignment="1">
      <alignment horizontal="left" vertical="top" wrapText="1"/>
    </xf>
    <xf numFmtId="165" fontId="0" fillId="0" borderId="32" xfId="0" applyNumberFormat="1" applyBorder="1" applyAlignment="1">
      <alignment vertical="center"/>
    </xf>
    <xf numFmtId="0" fontId="4" fillId="0" borderId="0" xfId="0" applyFont="1" applyBorder="1" applyAlignment="1">
      <alignment vertical="center" wrapText="1"/>
    </xf>
    <xf numFmtId="0" fontId="4" fillId="0" borderId="1" xfId="0" applyFont="1" applyBorder="1" applyAlignment="1">
      <alignment vertical="center"/>
    </xf>
    <xf numFmtId="0" fontId="3" fillId="0" borderId="1" xfId="0" applyFont="1" applyFill="1" applyBorder="1" applyAlignment="1">
      <alignment vertical="center"/>
    </xf>
    <xf numFmtId="0" fontId="4" fillId="0" borderId="7" xfId="0" applyFont="1" applyBorder="1" applyAlignment="1">
      <alignment vertical="center"/>
    </xf>
    <xf numFmtId="0" fontId="18" fillId="5" borderId="35" xfId="0" applyFont="1" applyFill="1" applyBorder="1" applyAlignment="1">
      <alignment horizontal="left"/>
    </xf>
    <xf numFmtId="0" fontId="3" fillId="0" borderId="20" xfId="0" applyFont="1" applyBorder="1" applyAlignment="1"/>
    <xf numFmtId="0" fontId="3" fillId="0" borderId="17" xfId="0" applyFont="1" applyBorder="1" applyAlignment="1"/>
    <xf numFmtId="0" fontId="3" fillId="0" borderId="0" xfId="0" applyFont="1" applyBorder="1" applyAlignment="1"/>
    <xf numFmtId="0" fontId="6" fillId="0" borderId="0" xfId="0" applyFont="1" applyBorder="1" applyAlignment="1">
      <alignment horizontal="left"/>
      <extLst>
        <ext xmlns:xfpb="http://schemas.microsoft.com/office/spreadsheetml/2022/featurepropertybag" uri="{C7286773-470A-42A8-94C5-96B5CB345126}">
          <xfpb:xfComplement i="0"/>
        </ext>
      </extLst>
    </xf>
    <xf numFmtId="0" fontId="6" fillId="0" borderId="0" xfId="0" applyFont="1" applyBorder="1" applyAlignment="1">
      <alignment horizontal="left"/>
    </xf>
    <xf numFmtId="0" fontId="6" fillId="0" borderId="18" xfId="0" applyFont="1" applyBorder="1" applyAlignment="1">
      <alignment horizontal="left"/>
    </xf>
    <xf numFmtId="0" fontId="18" fillId="5" borderId="25" xfId="0" applyFont="1" applyFill="1" applyBorder="1" applyAlignment="1">
      <alignment horizontal="left"/>
    </xf>
    <xf numFmtId="0" fontId="18" fillId="5" borderId="3" xfId="0" applyFont="1" applyFill="1" applyBorder="1" applyAlignment="1">
      <alignment horizontal="left"/>
    </xf>
    <xf numFmtId="0" fontId="5" fillId="2" borderId="7" xfId="0" applyFont="1" applyFill="1" applyBorder="1" applyAlignment="1">
      <alignment horizontal="center" vertical="center"/>
    </xf>
    <xf numFmtId="0" fontId="5" fillId="2" borderId="7" xfId="0" applyFont="1" applyFill="1" applyBorder="1" applyAlignment="1">
      <alignment horizontal="center" wrapText="1"/>
    </xf>
    <xf numFmtId="0" fontId="5" fillId="2" borderId="24" xfId="0" applyFont="1" applyFill="1" applyBorder="1" applyAlignment="1">
      <alignment horizontal="left"/>
    </xf>
    <xf numFmtId="0" fontId="6" fillId="0" borderId="10" xfId="0" applyFont="1" applyBorder="1" applyAlignment="1">
      <alignment horizontal="center"/>
    </xf>
    <xf numFmtId="0" fontId="6" fillId="0" borderId="26" xfId="0" applyFont="1" applyBorder="1" applyAlignment="1">
      <alignment horizontal="left"/>
    </xf>
    <xf numFmtId="0" fontId="6" fillId="0" borderId="7" xfId="0" applyFont="1" applyBorder="1" applyAlignment="1">
      <alignment horizontal="center"/>
    </xf>
    <xf numFmtId="0" fontId="6" fillId="0" borderId="24" xfId="0" applyFont="1" applyBorder="1" applyAlignment="1">
      <alignment horizontal="left"/>
    </xf>
    <xf numFmtId="0" fontId="6" fillId="0" borderId="11" xfId="0" applyFont="1" applyBorder="1" applyAlignment="1">
      <alignment horizontal="center"/>
    </xf>
    <xf numFmtId="0" fontId="10" fillId="5" borderId="2" xfId="0" applyFont="1" applyFill="1" applyBorder="1" applyAlignment="1">
      <alignment horizontal="center"/>
    </xf>
    <xf numFmtId="0" fontId="6" fillId="0" borderId="24" xfId="0" applyFont="1" applyBorder="1"/>
    <xf numFmtId="0" fontId="6" fillId="5" borderId="24" xfId="0" applyFont="1" applyFill="1" applyBorder="1"/>
    <xf numFmtId="0" fontId="18" fillId="5" borderId="7" xfId="0" applyFont="1" applyFill="1" applyBorder="1" applyAlignment="1">
      <alignment wrapText="1"/>
    </xf>
    <xf numFmtId="0" fontId="4" fillId="0" borderId="7" xfId="0" applyFont="1" applyBorder="1" applyAlignment="1">
      <alignment horizontal="left" vertical="center"/>
      <extLst>
        <ext xmlns:xfpb="http://schemas.microsoft.com/office/spreadsheetml/2022/featurepropertybag" uri="{C7286773-470A-42A8-94C5-96B5CB345126}">
          <xfpb:xfComplement i="0"/>
        </ext>
      </extLst>
    </xf>
    <xf numFmtId="0" fontId="5" fillId="2" borderId="30" xfId="0" applyFont="1" applyFill="1" applyBorder="1" applyAlignment="1">
      <alignment horizontal="center"/>
    </xf>
    <xf numFmtId="0" fontId="6" fillId="0" borderId="22" xfId="0" applyFont="1" applyBorder="1"/>
    <xf numFmtId="0" fontId="6" fillId="0" borderId="27" xfId="0" applyFont="1" applyBorder="1"/>
    <xf numFmtId="0" fontId="9" fillId="5" borderId="36" xfId="0" applyFont="1" applyFill="1" applyBorder="1"/>
    <xf numFmtId="0" fontId="9" fillId="5" borderId="13" xfId="0" applyFont="1" applyFill="1" applyBorder="1"/>
    <xf numFmtId="0" fontId="9" fillId="5" borderId="37" xfId="0" applyFont="1" applyFill="1" applyBorder="1"/>
    <xf numFmtId="0" fontId="5" fillId="0" borderId="2" xfId="0" applyFont="1" applyBorder="1" applyAlignment="1">
      <alignment horizontal="center" vertical="center"/>
    </xf>
    <xf numFmtId="0" fontId="5" fillId="0" borderId="24" xfId="0" applyFont="1" applyBorder="1" applyAlignment="1">
      <alignment horizontal="center" vertical="center"/>
    </xf>
    <xf numFmtId="0" fontId="6" fillId="0" borderId="2" xfId="0" applyFont="1" applyBorder="1" applyAlignment="1">
      <alignment horizontal="center" vertical="center"/>
    </xf>
    <xf numFmtId="164" fontId="6" fillId="0" borderId="24"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9" fillId="5" borderId="7" xfId="0" applyFont="1" applyFill="1" applyBorder="1" applyAlignment="1">
      <alignment horizontal="right" vertical="center"/>
    </xf>
    <xf numFmtId="164" fontId="9" fillId="5" borderId="27" xfId="0" applyNumberFormat="1" applyFont="1" applyFill="1" applyBorder="1" applyAlignment="1">
      <alignment vertical="center"/>
    </xf>
    <xf numFmtId="0" fontId="5" fillId="0" borderId="23" xfId="0" applyFont="1" applyBorder="1"/>
    <xf numFmtId="0" fontId="5" fillId="0" borderId="1" xfId="0" applyFont="1" applyBorder="1" applyAlignment="1">
      <alignment horizontal="center"/>
    </xf>
    <xf numFmtId="0" fontId="5" fillId="0" borderId="7" xfId="0" applyFont="1" applyBorder="1"/>
    <xf numFmtId="0" fontId="7" fillId="0" borderId="7" xfId="0" applyFont="1" applyBorder="1"/>
    <xf numFmtId="0" fontId="7" fillId="0" borderId="11" xfId="0" applyFont="1" applyBorder="1"/>
    <xf numFmtId="0" fontId="7" fillId="0" borderId="24" xfId="0" applyFont="1" applyBorder="1"/>
    <xf numFmtId="0" fontId="6" fillId="0" borderId="23" xfId="0" applyFont="1" applyBorder="1"/>
    <xf numFmtId="164" fontId="6" fillId="0" borderId="7" xfId="0" applyNumberFormat="1" applyFont="1" applyBorder="1" applyAlignment="1">
      <alignment horizontal="center"/>
    </xf>
    <xf numFmtId="0" fontId="6" fillId="0" borderId="10" xfId="0" applyNumberFormat="1" applyFont="1" applyBorder="1" applyAlignment="1">
      <alignment horizontal="left"/>
    </xf>
    <xf numFmtId="164" fontId="6" fillId="0" borderId="4" xfId="0" applyNumberFormat="1" applyFont="1" applyBorder="1"/>
    <xf numFmtId="164" fontId="6" fillId="0" borderId="7" xfId="0" applyNumberFormat="1" applyFont="1" applyBorder="1"/>
    <xf numFmtId="164" fontId="6" fillId="0" borderId="22" xfId="0" applyNumberFormat="1" applyFont="1" applyBorder="1"/>
    <xf numFmtId="2" fontId="1" fillId="0" borderId="0" xfId="0" applyNumberFormat="1" applyFont="1" applyBorder="1"/>
    <xf numFmtId="0" fontId="6" fillId="0" borderId="35" xfId="0" applyFont="1" applyBorder="1"/>
    <xf numFmtId="164" fontId="6" fillId="0" borderId="11" xfId="0" applyNumberFormat="1" applyFont="1" applyBorder="1" applyAlignment="1">
      <alignment horizontal="center"/>
    </xf>
    <xf numFmtId="0" fontId="6" fillId="0" borderId="13" xfId="0" applyNumberFormat="1" applyFont="1" applyBorder="1" applyAlignment="1">
      <alignment horizontal="left"/>
    </xf>
    <xf numFmtId="164" fontId="6" fillId="0" borderId="12" xfId="0" applyNumberFormat="1" applyFont="1" applyBorder="1"/>
    <xf numFmtId="164" fontId="6" fillId="0" borderId="11" xfId="0" applyNumberFormat="1" applyFont="1" applyBorder="1"/>
    <xf numFmtId="164" fontId="6" fillId="0" borderId="18" xfId="0" applyNumberFormat="1" applyFont="1" applyBorder="1"/>
    <xf numFmtId="0" fontId="6" fillId="0" borderId="30" xfId="0" applyFont="1" applyBorder="1"/>
    <xf numFmtId="164" fontId="6" fillId="0" borderId="30" xfId="0" applyNumberFormat="1" applyFont="1" applyBorder="1" applyAlignment="1">
      <alignment horizontal="center"/>
    </xf>
    <xf numFmtId="0" fontId="6" fillId="0" borderId="30" xfId="0" applyNumberFormat="1" applyFont="1" applyBorder="1" applyAlignment="1">
      <alignment horizontal="left"/>
    </xf>
    <xf numFmtId="164" fontId="6" fillId="0" borderId="30" xfId="0" applyNumberFormat="1" applyFont="1" applyBorder="1"/>
    <xf numFmtId="0" fontId="9" fillId="5" borderId="30" xfId="0" applyFont="1" applyFill="1" applyBorder="1"/>
    <xf numFmtId="49" fontId="9" fillId="5" borderId="30" xfId="0" applyNumberFormat="1" applyFont="1" applyFill="1" applyBorder="1"/>
    <xf numFmtId="164" fontId="9" fillId="5" borderId="30" xfId="0" applyNumberFormat="1" applyFont="1" applyFill="1" applyBorder="1"/>
    <xf numFmtId="0" fontId="9" fillId="0" borderId="0" xfId="0" applyFont="1" applyFill="1" applyBorder="1"/>
    <xf numFmtId="0" fontId="19" fillId="2" borderId="35" xfId="0" applyFont="1" applyFill="1" applyBorder="1" applyAlignment="1">
      <alignment horizontal="center" vertical="center"/>
    </xf>
    <xf numFmtId="0" fontId="19" fillId="2" borderId="36" xfId="0" applyFont="1" applyFill="1" applyBorder="1" applyAlignment="1">
      <alignment horizontal="center" vertical="center"/>
    </xf>
    <xf numFmtId="0" fontId="19" fillId="2" borderId="28" xfId="0" applyFont="1" applyFill="1" applyBorder="1" applyAlignment="1">
      <alignment horizontal="center" vertical="center"/>
    </xf>
    <xf numFmtId="0" fontId="6" fillId="0" borderId="1" xfId="0" applyFont="1" applyBorder="1" applyAlignment="1">
      <alignment horizontal="left"/>
    </xf>
    <xf numFmtId="0" fontId="6" fillId="0" borderId="2" xfId="0" applyFont="1" applyBorder="1" applyAlignment="1">
      <alignment horizontal="left"/>
    </xf>
    <xf numFmtId="0" fontId="18" fillId="5" borderId="20" xfId="0" applyFont="1" applyFill="1" applyBorder="1" applyAlignment="1">
      <alignment vertical="center" wrapText="1"/>
    </xf>
    <xf numFmtId="0" fontId="18" fillId="5" borderId="3" xfId="0" applyFont="1" applyFill="1" applyBorder="1" applyAlignment="1">
      <alignment vertical="center" wrapText="1"/>
    </xf>
    <xf numFmtId="0" fontId="18" fillId="5" borderId="19" xfId="0" applyFont="1" applyFill="1" applyBorder="1" applyAlignment="1">
      <alignment vertical="center" wrapText="1"/>
    </xf>
    <xf numFmtId="0" fontId="20" fillId="0" borderId="21" xfId="0" applyFont="1" applyFill="1" applyBorder="1" applyAlignment="1">
      <alignment horizontal="center" vertical="center" wrapText="1"/>
    </xf>
    <xf numFmtId="0" fontId="20" fillId="0" borderId="5" xfId="0" applyFont="1" applyFill="1" applyBorder="1" applyAlignment="1">
      <alignment horizontal="center" vertical="center" wrapText="1"/>
    </xf>
    <xf numFmtId="0" fontId="20" fillId="0" borderId="22" xfId="0" applyFont="1" applyFill="1" applyBorder="1" applyAlignment="1">
      <alignment horizontal="center" vertical="center" wrapText="1"/>
    </xf>
    <xf numFmtId="0" fontId="11" fillId="0" borderId="38" xfId="0" applyFont="1" applyBorder="1" applyAlignment="1">
      <alignment horizontal="left" vertical="top" wrapText="1"/>
    </xf>
    <xf numFmtId="0" fontId="11" fillId="0" borderId="39" xfId="0" applyFont="1" applyBorder="1" applyAlignment="1">
      <alignment horizontal="left" vertical="top" wrapText="1"/>
    </xf>
    <xf numFmtId="0" fontId="11" fillId="0" borderId="40" xfId="0" applyFont="1" applyBorder="1" applyAlignment="1">
      <alignment horizontal="left" vertical="top" wrapText="1"/>
    </xf>
    <xf numFmtId="0" fontId="11" fillId="0" borderId="17" xfId="0" applyFont="1" applyBorder="1" applyAlignment="1">
      <alignment horizontal="left" vertical="top" wrapText="1"/>
    </xf>
    <xf numFmtId="0" fontId="11" fillId="0" borderId="0" xfId="0" applyFont="1" applyBorder="1" applyAlignment="1">
      <alignment horizontal="left" vertical="top" wrapText="1"/>
    </xf>
    <xf numFmtId="0" fontId="11" fillId="0" borderId="18" xfId="0" applyFont="1" applyBorder="1" applyAlignment="1">
      <alignment horizontal="left" vertical="top" wrapText="1"/>
    </xf>
    <xf numFmtId="0" fontId="11" fillId="0" borderId="41" xfId="0" applyFont="1" applyBorder="1" applyAlignment="1">
      <alignment horizontal="left" vertical="top" wrapText="1"/>
    </xf>
    <xf numFmtId="0" fontId="11" fillId="0" borderId="42" xfId="0" applyFont="1" applyBorder="1" applyAlignment="1">
      <alignment horizontal="left" vertical="top" wrapText="1"/>
    </xf>
    <xf numFmtId="0" fontId="11" fillId="0" borderId="29" xfId="0" applyFont="1" applyBorder="1" applyAlignment="1">
      <alignment horizontal="left" vertical="top" wrapText="1"/>
    </xf>
    <xf numFmtId="0" fontId="5" fillId="2" borderId="30" xfId="0" applyFont="1" applyFill="1" applyBorder="1" applyAlignment="1">
      <alignment horizontal="center"/>
    </xf>
    <xf numFmtId="0" fontId="6" fillId="0" borderId="30" xfId="0" applyFont="1" applyBorder="1" applyAlignment="1"/>
    <xf numFmtId="0" fontId="9" fillId="5" borderId="4" xfId="0" applyFont="1" applyFill="1" applyBorder="1" applyAlignment="1">
      <alignment horizontal="right" wrapText="1"/>
    </xf>
    <xf numFmtId="0" fontId="9" fillId="5" borderId="5" xfId="0" applyFont="1" applyFill="1" applyBorder="1" applyAlignment="1">
      <alignment horizontal="right" wrapText="1"/>
    </xf>
    <xf numFmtId="0" fontId="9" fillId="5" borderId="6" xfId="0" applyFont="1" applyFill="1" applyBorder="1" applyAlignment="1">
      <alignment horizontal="right" wrapText="1"/>
    </xf>
    <xf numFmtId="0" fontId="9" fillId="0" borderId="21" xfId="0" applyFont="1" applyFill="1" applyBorder="1" applyAlignment="1">
      <alignment horizontal="center"/>
    </xf>
    <xf numFmtId="0" fontId="9" fillId="0" borderId="5" xfId="0" applyFont="1" applyFill="1" applyBorder="1" applyAlignment="1">
      <alignment horizontal="center"/>
    </xf>
    <xf numFmtId="0" fontId="9" fillId="0" borderId="22" xfId="0" applyFont="1" applyFill="1" applyBorder="1" applyAlignment="1">
      <alignment horizontal="center"/>
    </xf>
    <xf numFmtId="0" fontId="6" fillId="0" borderId="25" xfId="0" applyFont="1" applyFill="1" applyBorder="1" applyAlignment="1">
      <alignment horizontal="center"/>
    </xf>
    <xf numFmtId="0" fontId="6" fillId="0" borderId="8" xfId="0" applyFont="1" applyFill="1" applyBorder="1" applyAlignment="1">
      <alignment horizontal="center"/>
    </xf>
    <xf numFmtId="0" fontId="6" fillId="0" borderId="27" xfId="0" applyFont="1" applyFill="1" applyBorder="1" applyAlignment="1">
      <alignment horizontal="center"/>
    </xf>
    <xf numFmtId="0" fontId="4" fillId="0" borderId="1" xfId="0" applyFont="1" applyBorder="1" applyAlignment="1">
      <alignment vertical="center"/>
    </xf>
    <xf numFmtId="0" fontId="4" fillId="0" borderId="8" xfId="0" applyFont="1" applyBorder="1" applyAlignment="1">
      <alignment vertical="center"/>
    </xf>
    <xf numFmtId="0" fontId="4" fillId="0" borderId="27" xfId="0" applyFont="1" applyBorder="1" applyAlignment="1">
      <alignment vertical="center"/>
    </xf>
    <xf numFmtId="0" fontId="6" fillId="0" borderId="25" xfId="0" applyFont="1" applyBorder="1" applyAlignment="1">
      <alignment horizontal="center" vertical="center"/>
    </xf>
    <xf numFmtId="0" fontId="6" fillId="0" borderId="8" xfId="0" applyFont="1" applyBorder="1" applyAlignment="1">
      <alignment horizontal="center" vertical="center"/>
    </xf>
    <xf numFmtId="0" fontId="6" fillId="0" borderId="27" xfId="0" applyFont="1" applyBorder="1" applyAlignment="1">
      <alignment horizontal="center" vertical="center"/>
    </xf>
    <xf numFmtId="0" fontId="18" fillId="5" borderId="3" xfId="0" applyFont="1" applyFill="1" applyBorder="1" applyAlignment="1">
      <alignment vertical="center"/>
    </xf>
    <xf numFmtId="0" fontId="18" fillId="5" borderId="19" xfId="0" applyFont="1" applyFill="1" applyBorder="1" applyAlignment="1">
      <alignment vertical="center"/>
    </xf>
    <xf numFmtId="0" fontId="9" fillId="5" borderId="1" xfId="0" applyFont="1" applyFill="1" applyBorder="1" applyAlignment="1">
      <alignment horizontal="right"/>
    </xf>
    <xf numFmtId="0" fontId="9" fillId="5" borderId="2" xfId="0" applyFont="1" applyFill="1" applyBorder="1" applyAlignment="1">
      <alignment horizontal="right"/>
    </xf>
    <xf numFmtId="0" fontId="8" fillId="0" borderId="25"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27" xfId="0" applyFont="1" applyFill="1" applyBorder="1" applyAlignment="1">
      <alignment horizontal="center" vertical="center"/>
    </xf>
    <xf numFmtId="0" fontId="18" fillId="5" borderId="25" xfId="0" applyFont="1" applyFill="1" applyBorder="1" applyAlignment="1">
      <alignment horizontal="left"/>
    </xf>
    <xf numFmtId="0" fontId="18" fillId="5" borderId="8" xfId="0" applyFont="1" applyFill="1" applyBorder="1" applyAlignment="1">
      <alignment horizontal="left"/>
    </xf>
    <xf numFmtId="0" fontId="18" fillId="5" borderId="9" xfId="0" applyFont="1" applyFill="1" applyBorder="1" applyAlignment="1">
      <alignment horizontal="center"/>
    </xf>
    <xf numFmtId="0" fontId="18" fillId="5" borderId="3" xfId="0" applyFont="1" applyFill="1" applyBorder="1" applyAlignment="1">
      <alignment horizontal="center"/>
    </xf>
    <xf numFmtId="0" fontId="18" fillId="5" borderId="19" xfId="0" applyFont="1" applyFill="1" applyBorder="1" applyAlignment="1">
      <alignment horizontal="center"/>
    </xf>
    <xf numFmtId="0" fontId="4" fillId="0" borderId="9" xfId="0" applyFont="1" applyFill="1" applyBorder="1" applyAlignment="1">
      <alignment horizontal="left" vertical="top" wrapText="1"/>
    </xf>
    <xf numFmtId="0" fontId="4" fillId="0" borderId="3" xfId="0" applyFont="1" applyFill="1" applyBorder="1" applyAlignment="1">
      <alignment horizontal="left" vertical="top"/>
    </xf>
    <xf numFmtId="0" fontId="4" fillId="0" borderId="19" xfId="0" applyFont="1" applyFill="1" applyBorder="1" applyAlignment="1">
      <alignment horizontal="left" vertical="top"/>
    </xf>
    <xf numFmtId="0" fontId="4" fillId="0" borderId="12" xfId="0" applyFont="1" applyFill="1" applyBorder="1" applyAlignment="1">
      <alignment horizontal="left" vertical="top"/>
    </xf>
    <xf numFmtId="0" fontId="4" fillId="0" borderId="0" xfId="0" applyFont="1" applyFill="1" applyBorder="1" applyAlignment="1">
      <alignment horizontal="left" vertical="top"/>
    </xf>
    <xf numFmtId="0" fontId="4" fillId="0" borderId="18" xfId="0" applyFont="1" applyFill="1" applyBorder="1" applyAlignment="1">
      <alignment horizontal="left" vertical="top"/>
    </xf>
    <xf numFmtId="0" fontId="4" fillId="0" borderId="4" xfId="0" applyFont="1" applyFill="1" applyBorder="1" applyAlignment="1">
      <alignment horizontal="left" vertical="top"/>
    </xf>
    <xf numFmtId="0" fontId="4" fillId="0" borderId="5" xfId="0" applyFont="1" applyFill="1" applyBorder="1" applyAlignment="1">
      <alignment horizontal="left" vertical="top"/>
    </xf>
    <xf numFmtId="0" fontId="4" fillId="0" borderId="22" xfId="0" applyFont="1" applyFill="1" applyBorder="1" applyAlignment="1">
      <alignment horizontal="left" vertical="top"/>
    </xf>
    <xf numFmtId="0" fontId="3" fillId="0" borderId="1" xfId="0" applyFont="1" applyFill="1" applyBorder="1" applyAlignment="1">
      <alignment vertical="center"/>
    </xf>
    <xf numFmtId="0" fontId="3" fillId="0" borderId="8" xfId="0" applyFont="1" applyFill="1" applyBorder="1" applyAlignment="1">
      <alignment vertical="center"/>
    </xf>
    <xf numFmtId="0" fontId="3" fillId="0" borderId="27" xfId="0" applyFont="1" applyFill="1" applyBorder="1" applyAlignment="1">
      <alignment vertical="center"/>
    </xf>
    <xf numFmtId="0" fontId="19" fillId="2" borderId="23" xfId="0" applyFont="1" applyFill="1" applyBorder="1" applyAlignment="1">
      <alignment horizontal="center" vertical="center"/>
    </xf>
    <xf numFmtId="0" fontId="5" fillId="2" borderId="1" xfId="0" applyFont="1" applyFill="1" applyBorder="1" applyAlignment="1"/>
    <xf numFmtId="0" fontId="5" fillId="2" borderId="2" xfId="0" applyFont="1" applyFill="1" applyBorder="1" applyAlignment="1"/>
    <xf numFmtId="0" fontId="6" fillId="0" borderId="1" xfId="0" applyFont="1" applyBorder="1" applyAlignment="1"/>
    <xf numFmtId="0" fontId="6" fillId="0" borderId="2" xfId="0" applyFont="1" applyBorder="1" applyAlignment="1"/>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0" xfId="0" applyFont="1" applyBorder="1" applyAlignment="1">
      <alignment horizontal="center" vertical="center" wrapText="1"/>
    </xf>
    <xf numFmtId="0" fontId="18" fillId="5" borderId="3" xfId="0" applyFont="1" applyFill="1" applyBorder="1" applyAlignment="1">
      <alignment horizontal="left"/>
    </xf>
    <xf numFmtId="0" fontId="18" fillId="5" borderId="19" xfId="0" applyFont="1" applyFill="1" applyBorder="1" applyAlignment="1">
      <alignment horizontal="left"/>
    </xf>
    <xf numFmtId="0" fontId="6" fillId="0" borderId="0" xfId="0" applyFont="1" applyBorder="1" applyAlignment="1">
      <alignment horizontal="left" vertical="center"/>
    </xf>
    <xf numFmtId="0" fontId="6" fillId="0" borderId="18" xfId="0" applyFont="1" applyBorder="1" applyAlignment="1">
      <alignment horizontal="left" vertical="center"/>
    </xf>
    <xf numFmtId="164" fontId="4" fillId="0" borderId="0" xfId="0" applyNumberFormat="1" applyFont="1" applyBorder="1" applyAlignment="1">
      <alignment horizontal="left"/>
    </xf>
    <xf numFmtId="0" fontId="7" fillId="0" borderId="0" xfId="0" applyFont="1" applyBorder="1" applyAlignment="1">
      <alignment horizontal="left"/>
    </xf>
    <xf numFmtId="0" fontId="6" fillId="0" borderId="21" xfId="0" applyFont="1" applyBorder="1" applyAlignment="1">
      <alignment horizontal="center"/>
    </xf>
    <xf numFmtId="0" fontId="6" fillId="0" borderId="5" xfId="0" applyFont="1" applyBorder="1" applyAlignment="1">
      <alignment horizontal="center"/>
    </xf>
    <xf numFmtId="0" fontId="6" fillId="0" borderId="22" xfId="0" applyFont="1" applyBorder="1" applyAlignment="1">
      <alignment horizontal="center"/>
    </xf>
    <xf numFmtId="0" fontId="18" fillId="5" borderId="21" xfId="0" applyFont="1" applyFill="1" applyBorder="1" applyAlignment="1">
      <alignment horizontal="left" wrapText="1"/>
    </xf>
    <xf numFmtId="0" fontId="18" fillId="5" borderId="5" xfId="0" applyFont="1" applyFill="1" applyBorder="1" applyAlignment="1">
      <alignment horizontal="left" wrapText="1"/>
    </xf>
    <xf numFmtId="0" fontId="18" fillId="5" borderId="22" xfId="0" applyFont="1" applyFill="1" applyBorder="1" applyAlignment="1">
      <alignment horizontal="left" wrapText="1"/>
    </xf>
    <xf numFmtId="0" fontId="4" fillId="0" borderId="20" xfId="0" applyFont="1" applyBorder="1" applyAlignment="1">
      <alignment vertical="top" wrapText="1"/>
    </xf>
    <xf numFmtId="0" fontId="4" fillId="0" borderId="3" xfId="0" applyFont="1" applyBorder="1" applyAlignment="1">
      <alignment vertical="top" wrapText="1"/>
    </xf>
    <xf numFmtId="0" fontId="4" fillId="0" borderId="19" xfId="0" applyFont="1" applyBorder="1" applyAlignment="1">
      <alignment vertical="top" wrapText="1"/>
    </xf>
    <xf numFmtId="0" fontId="4" fillId="0" borderId="17" xfId="0" applyFont="1" applyBorder="1" applyAlignment="1">
      <alignment vertical="top" wrapText="1"/>
    </xf>
    <xf numFmtId="0" fontId="4" fillId="0" borderId="0" xfId="0" applyFont="1" applyBorder="1" applyAlignment="1">
      <alignment vertical="top" wrapText="1"/>
    </xf>
    <xf numFmtId="0" fontId="4" fillId="0" borderId="18" xfId="0" applyFont="1" applyBorder="1" applyAlignment="1">
      <alignment vertical="top" wrapText="1"/>
    </xf>
    <xf numFmtId="0" fontId="4" fillId="0" borderId="21" xfId="0" applyFont="1" applyBorder="1" applyAlignment="1">
      <alignment vertical="top" wrapText="1"/>
    </xf>
    <xf numFmtId="0" fontId="4" fillId="0" borderId="5" xfId="0" applyFont="1" applyBorder="1" applyAlignment="1">
      <alignment vertical="top" wrapText="1"/>
    </xf>
    <xf numFmtId="0" fontId="4" fillId="0" borderId="22" xfId="0" applyFont="1" applyBorder="1" applyAlignment="1">
      <alignment vertical="top" wrapText="1"/>
    </xf>
    <xf numFmtId="0" fontId="18" fillId="5" borderId="14" xfId="0" applyFont="1" applyFill="1" applyBorder="1" applyAlignment="1">
      <alignment horizontal="left" vertical="center"/>
    </xf>
    <xf numFmtId="0" fontId="18" fillId="5" borderId="15" xfId="0" applyFont="1" applyFill="1" applyBorder="1" applyAlignment="1">
      <alignment horizontal="left" vertical="center"/>
    </xf>
    <xf numFmtId="0" fontId="18" fillId="5" borderId="16" xfId="0" applyFont="1" applyFill="1" applyBorder="1" applyAlignment="1">
      <alignment horizontal="left" vertical="center"/>
    </xf>
    <xf numFmtId="0" fontId="2" fillId="0" borderId="17" xfId="0" applyFont="1" applyBorder="1" applyAlignment="1">
      <alignment horizontal="left" vertical="center" wrapText="1"/>
    </xf>
    <xf numFmtId="0" fontId="2" fillId="0" borderId="0" xfId="0" applyFont="1" applyBorder="1" applyAlignment="1">
      <alignment horizontal="left" vertical="center" wrapText="1"/>
    </xf>
    <xf numFmtId="0" fontId="2" fillId="0" borderId="18" xfId="0" applyFont="1" applyBorder="1" applyAlignment="1">
      <alignment horizontal="left" vertical="center" wrapText="1"/>
    </xf>
    <xf numFmtId="0" fontId="4" fillId="0" borderId="0" xfId="0" applyFont="1" applyBorder="1" applyAlignment="1">
      <alignment horizontal="left" vertical="center"/>
    </xf>
    <xf numFmtId="0" fontId="4" fillId="0" borderId="18" xfId="0" applyFont="1" applyBorder="1" applyAlignment="1">
      <alignment horizontal="left" vertical="center"/>
    </xf>
    <xf numFmtId="0" fontId="4" fillId="0" borderId="0" xfId="0" applyFont="1" applyBorder="1" applyAlignment="1">
      <alignment horizontal="left"/>
    </xf>
    <xf numFmtId="0" fontId="4" fillId="0" borderId="18" xfId="0" applyFont="1" applyBorder="1" applyAlignment="1">
      <alignment horizontal="left"/>
    </xf>
    <xf numFmtId="15" fontId="4" fillId="0" borderId="0" xfId="0" applyNumberFormat="1" applyFont="1" applyBorder="1" applyAlignment="1">
      <alignment horizontal="center" vertical="center"/>
    </xf>
    <xf numFmtId="0" fontId="4" fillId="0" borderId="0" xfId="0" applyFont="1" applyBorder="1" applyAlignment="1">
      <alignment horizontal="center" vertical="center"/>
    </xf>
    <xf numFmtId="0" fontId="4" fillId="0" borderId="18" xfId="0" applyFont="1" applyBorder="1" applyAlignment="1">
      <alignment horizontal="center" vertical="center"/>
    </xf>
    <xf numFmtId="0" fontId="17" fillId="5" borderId="30" xfId="0" applyFont="1" applyFill="1" applyBorder="1" applyAlignment="1">
      <alignment horizontal="left" vertical="center"/>
    </xf>
    <xf numFmtId="165" fontId="17" fillId="5" borderId="30" xfId="0" applyNumberFormat="1" applyFont="1" applyFill="1" applyBorder="1" applyAlignment="1">
      <alignment horizontal="center" vertical="center"/>
    </xf>
    <xf numFmtId="0" fontId="9" fillId="5" borderId="32" xfId="0" applyFont="1" applyFill="1" applyBorder="1" applyAlignment="1">
      <alignment horizontal="left" vertical="center" wrapText="1"/>
    </xf>
  </cellXfs>
  <cellStyles count="2">
    <cellStyle name="Hyperlink" xfId="1" builtinId="8"/>
    <cellStyle name="Normal" xfId="0" builtinId="0"/>
  </cellStyles>
  <dxfs count="12">
    <dxf>
      <numFmt numFmtId="165" formatCode="[$€-2]\ #,##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D4ED8"/>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1/relationships/FeaturePropertyBag" Target="featurePropertyBag/featurePropertyBag.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43</xdr:row>
          <xdr:rowOff>219075</xdr:rowOff>
        </xdr:from>
        <xdr:to>
          <xdr:col>2</xdr:col>
          <xdr:colOff>66675</xdr:colOff>
          <xdr:row>45</xdr:row>
          <xdr:rowOff>38100</xdr:rowOff>
        </xdr:to>
        <xdr:sp macro="" textlink="">
          <xdr:nvSpPr>
            <xdr:cNvPr id="10241" name="Check Box 1" hidden="1">
              <a:extLst>
                <a:ext uri="{63B3BB69-23CF-44E3-9099-C40C66FF867C}">
                  <a14:compatExt spid="_x0000_s10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44</xdr:row>
          <xdr:rowOff>142875</xdr:rowOff>
        </xdr:from>
        <xdr:to>
          <xdr:col>2</xdr:col>
          <xdr:colOff>57150</xdr:colOff>
          <xdr:row>46</xdr:row>
          <xdr:rowOff>0</xdr:rowOff>
        </xdr:to>
        <xdr:sp macro="" textlink="">
          <xdr:nvSpPr>
            <xdr:cNvPr id="10242" name="Check Box 2" hidden="1">
              <a:extLst>
                <a:ext uri="{63B3BB69-23CF-44E3-9099-C40C66FF867C}">
                  <a14:compatExt spid="_x0000_s10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46</xdr:row>
          <xdr:rowOff>171450</xdr:rowOff>
        </xdr:from>
        <xdr:to>
          <xdr:col>2</xdr:col>
          <xdr:colOff>66675</xdr:colOff>
          <xdr:row>48</xdr:row>
          <xdr:rowOff>9525</xdr:rowOff>
        </xdr:to>
        <xdr:sp macro="" textlink="">
          <xdr:nvSpPr>
            <xdr:cNvPr id="10243" name="Check Box 3" hidden="1">
              <a:extLst>
                <a:ext uri="{63B3BB69-23CF-44E3-9099-C40C66FF867C}">
                  <a14:compatExt spid="_x0000_s10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47</xdr:row>
          <xdr:rowOff>152400</xdr:rowOff>
        </xdr:from>
        <xdr:to>
          <xdr:col>2</xdr:col>
          <xdr:colOff>57150</xdr:colOff>
          <xdr:row>49</xdr:row>
          <xdr:rowOff>0</xdr:rowOff>
        </xdr:to>
        <xdr:sp macro="" textlink="">
          <xdr:nvSpPr>
            <xdr:cNvPr id="10244" name="Check Box 4" hidden="1">
              <a:extLst>
                <a:ext uri="{63B3BB69-23CF-44E3-9099-C40C66FF867C}">
                  <a14:compatExt spid="_x0000_s10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48</xdr:row>
          <xdr:rowOff>171450</xdr:rowOff>
        </xdr:from>
        <xdr:to>
          <xdr:col>2</xdr:col>
          <xdr:colOff>57150</xdr:colOff>
          <xdr:row>50</xdr:row>
          <xdr:rowOff>9525</xdr:rowOff>
        </xdr:to>
        <xdr:sp macro="" textlink="">
          <xdr:nvSpPr>
            <xdr:cNvPr id="10245" name="Check Box 5" hidden="1">
              <a:extLst>
                <a:ext uri="{63B3BB69-23CF-44E3-9099-C40C66FF867C}">
                  <a14:compatExt spid="_x0000_s10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49</xdr:row>
          <xdr:rowOff>171450</xdr:rowOff>
        </xdr:from>
        <xdr:to>
          <xdr:col>2</xdr:col>
          <xdr:colOff>57150</xdr:colOff>
          <xdr:row>51</xdr:row>
          <xdr:rowOff>9525</xdr:rowOff>
        </xdr:to>
        <xdr:sp macro="" textlink="">
          <xdr:nvSpPr>
            <xdr:cNvPr id="10246" name="Check Box 6" hidden="1">
              <a:extLst>
                <a:ext uri="{63B3BB69-23CF-44E3-9099-C40C66FF867C}">
                  <a14:compatExt spid="_x0000_s10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50</xdr:row>
          <xdr:rowOff>171450</xdr:rowOff>
        </xdr:from>
        <xdr:to>
          <xdr:col>2</xdr:col>
          <xdr:colOff>57150</xdr:colOff>
          <xdr:row>52</xdr:row>
          <xdr:rowOff>9525</xdr:rowOff>
        </xdr:to>
        <xdr:sp macro="" textlink="">
          <xdr:nvSpPr>
            <xdr:cNvPr id="10247" name="Check Box 7" hidden="1">
              <a:extLst>
                <a:ext uri="{63B3BB69-23CF-44E3-9099-C40C66FF867C}">
                  <a14:compatExt spid="_x0000_s10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51</xdr:row>
          <xdr:rowOff>161925</xdr:rowOff>
        </xdr:from>
        <xdr:to>
          <xdr:col>2</xdr:col>
          <xdr:colOff>57150</xdr:colOff>
          <xdr:row>53</xdr:row>
          <xdr:rowOff>0</xdr:rowOff>
        </xdr:to>
        <xdr:sp macro="" textlink="">
          <xdr:nvSpPr>
            <xdr:cNvPr id="10248" name="Check Box 8" hidden="1">
              <a:extLst>
                <a:ext uri="{63B3BB69-23CF-44E3-9099-C40C66FF867C}">
                  <a14:compatExt spid="_x0000_s10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52</xdr:row>
          <xdr:rowOff>152400</xdr:rowOff>
        </xdr:from>
        <xdr:to>
          <xdr:col>2</xdr:col>
          <xdr:colOff>57150</xdr:colOff>
          <xdr:row>54</xdr:row>
          <xdr:rowOff>0</xdr:rowOff>
        </xdr:to>
        <xdr:sp macro="" textlink="">
          <xdr:nvSpPr>
            <xdr:cNvPr id="10249" name="Check Box 9" hidden="1">
              <a:extLst>
                <a:ext uri="{63B3BB69-23CF-44E3-9099-C40C66FF867C}">
                  <a14:compatExt spid="_x0000_s10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45</xdr:row>
          <xdr:rowOff>161925</xdr:rowOff>
        </xdr:from>
        <xdr:to>
          <xdr:col>2</xdr:col>
          <xdr:colOff>66675</xdr:colOff>
          <xdr:row>47</xdr:row>
          <xdr:rowOff>0</xdr:rowOff>
        </xdr:to>
        <xdr:sp macro="" textlink="">
          <xdr:nvSpPr>
            <xdr:cNvPr id="10250" name="Check Box 10" hidden="1">
              <a:extLst>
                <a:ext uri="{63B3BB69-23CF-44E3-9099-C40C66FF867C}">
                  <a14:compatExt spid="_x0000_s10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7</xdr:row>
          <xdr:rowOff>9525</xdr:rowOff>
        </xdr:from>
        <xdr:to>
          <xdr:col>1</xdr:col>
          <xdr:colOff>971550</xdr:colOff>
          <xdr:row>8</xdr:row>
          <xdr:rowOff>0</xdr:rowOff>
        </xdr:to>
        <xdr:sp macro="" textlink="">
          <xdr:nvSpPr>
            <xdr:cNvPr id="10251" name="Check Box 11" hidden="1">
              <a:extLst>
                <a:ext uri="{63B3BB69-23CF-44E3-9099-C40C66FF867C}">
                  <a14:compatExt spid="_x0000_s10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857250</xdr:colOff>
          <xdr:row>6</xdr:row>
          <xdr:rowOff>171450</xdr:rowOff>
        </xdr:from>
        <xdr:to>
          <xdr:col>2</xdr:col>
          <xdr:colOff>1552575</xdr:colOff>
          <xdr:row>8</xdr:row>
          <xdr:rowOff>9525</xdr:rowOff>
        </xdr:to>
        <xdr:sp macro="" textlink="">
          <xdr:nvSpPr>
            <xdr:cNvPr id="10252" name="Check Box 12" hidden="1">
              <a:extLst>
                <a:ext uri="{63B3BB69-23CF-44E3-9099-C40C66FF867C}">
                  <a14:compatExt spid="_x0000_s10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xdr:row>
          <xdr:rowOff>171450</xdr:rowOff>
        </xdr:from>
        <xdr:to>
          <xdr:col>1</xdr:col>
          <xdr:colOff>219075</xdr:colOff>
          <xdr:row>9</xdr:row>
          <xdr:rowOff>161925</xdr:rowOff>
        </xdr:to>
        <xdr:sp macro="" textlink="">
          <xdr:nvSpPr>
            <xdr:cNvPr id="10253" name="Check Box 13" hidden="1">
              <a:extLst>
                <a:ext uri="{63B3BB69-23CF-44E3-9099-C40C66FF867C}">
                  <a14:compatExt spid="_x0000_s102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15240</xdr:rowOff>
    </xdr:from>
    <xdr:to>
      <xdr:col>5</xdr:col>
      <xdr:colOff>1295400</xdr:colOff>
      <xdr:row>16</xdr:row>
      <xdr:rowOff>167640</xdr:rowOff>
    </xdr:to>
    <xdr:sp macro="" textlink="">
      <xdr:nvSpPr>
        <xdr:cNvPr id="2" name="TextBox 1"/>
        <xdr:cNvSpPr txBox="1"/>
      </xdr:nvSpPr>
      <xdr:spPr>
        <a:xfrm>
          <a:off x="0" y="196215"/>
          <a:ext cx="9686925" cy="297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A1:H6" totalsRowShown="0" headerRowDxfId="11" dataDxfId="9" headerRowBorderDxfId="10" tableBorderDxfId="8" totalsRowBorderDxfId="7">
  <tableColumns count="8">
    <tableColumn id="1" name="Sr. No" dataDxfId="6"/>
    <tableColumn id="2" name="Component Name" dataDxfId="5"/>
    <tableColumn id="8" name="Variant" dataDxfId="4"/>
    <tableColumn id="3" name="Description / Use" dataDxfId="3"/>
    <tableColumn id="4" name="Link to Cart" dataCellStyle="Hyperlink"/>
    <tableColumn id="5" name="Quantity" dataDxfId="2"/>
    <tableColumn id="6" name="Unit Price" dataDxfId="1"/>
    <tableColumn id="7" name="Total Price (Euro)" dataDxfId="0">
      <calculatedColumnFormula>F2*G2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104"/>
  <sheetViews>
    <sheetView tabSelected="1" topLeftCell="A71" workbookViewId="0">
      <selection sqref="A1:F104"/>
    </sheetView>
  </sheetViews>
  <sheetFormatPr defaultColWidth="9.140625" defaultRowHeight="15" customHeight="1" x14ac:dyDescent="0.2"/>
  <cols>
    <col min="1" max="1" width="37.42578125" style="1" customWidth="1"/>
    <col min="2" max="2" width="17" style="1" customWidth="1"/>
    <col min="3" max="3" width="45.5703125" style="1" customWidth="1"/>
    <col min="4" max="4" width="19.85546875" style="1" customWidth="1"/>
    <col min="5" max="5" width="15.42578125" style="1" customWidth="1"/>
    <col min="6" max="6" width="20" style="1" customWidth="1"/>
    <col min="7" max="16384" width="9.140625" style="1"/>
  </cols>
  <sheetData>
    <row r="1" spans="1:6" ht="30.75" customHeight="1" x14ac:dyDescent="0.2">
      <c r="A1" s="209" t="s">
        <v>0</v>
      </c>
      <c r="B1" s="210"/>
      <c r="C1" s="210"/>
      <c r="D1" s="210"/>
      <c r="E1" s="210"/>
      <c r="F1" s="211"/>
    </row>
    <row r="2" spans="1:6" ht="21" customHeight="1" x14ac:dyDescent="0.2">
      <c r="A2" s="212" t="s">
        <v>1</v>
      </c>
      <c r="B2" s="213"/>
      <c r="C2" s="213"/>
      <c r="D2" s="213"/>
      <c r="E2" s="213"/>
      <c r="F2" s="214"/>
    </row>
    <row r="3" spans="1:6" ht="4.5" hidden="1" customHeight="1" x14ac:dyDescent="0.2">
      <c r="A3" s="212"/>
      <c r="B3" s="213"/>
      <c r="C3" s="213"/>
      <c r="D3" s="213"/>
      <c r="E3" s="213"/>
      <c r="F3" s="214"/>
    </row>
    <row r="4" spans="1:6" ht="15.75" x14ac:dyDescent="0.25">
      <c r="A4" s="57" t="s">
        <v>2</v>
      </c>
      <c r="B4" s="165"/>
      <c r="C4" s="166"/>
      <c r="D4" s="166"/>
      <c r="E4" s="166"/>
      <c r="F4" s="167"/>
    </row>
    <row r="5" spans="1:6" ht="14.25" x14ac:dyDescent="0.2">
      <c r="A5" s="58" t="s">
        <v>3</v>
      </c>
      <c r="B5" s="215" t="s">
        <v>98</v>
      </c>
      <c r="C5" s="215"/>
      <c r="D5" s="215"/>
      <c r="E5" s="215"/>
      <c r="F5" s="216"/>
    </row>
    <row r="6" spans="1:6" ht="14.25" x14ac:dyDescent="0.2">
      <c r="A6" s="59" t="s">
        <v>4</v>
      </c>
      <c r="B6" s="217" t="s">
        <v>100</v>
      </c>
      <c r="C6" s="217"/>
      <c r="D6" s="217"/>
      <c r="E6" s="217"/>
      <c r="F6" s="218"/>
    </row>
    <row r="7" spans="1:6" ht="14.25" x14ac:dyDescent="0.2">
      <c r="A7" s="59" t="s">
        <v>5</v>
      </c>
      <c r="B7" s="219">
        <v>45955</v>
      </c>
      <c r="C7" s="220"/>
      <c r="D7" s="60" t="s">
        <v>6</v>
      </c>
      <c r="E7" s="219">
        <v>45991</v>
      </c>
      <c r="F7" s="221"/>
    </row>
    <row r="8" spans="1:6" ht="14.25" x14ac:dyDescent="0.2">
      <c r="A8" s="14" t="s">
        <v>7</v>
      </c>
      <c r="B8" s="6" t="s">
        <v>8</v>
      </c>
      <c r="C8" s="5" t="s">
        <v>9</v>
      </c>
      <c r="E8" s="190"/>
      <c r="F8" s="191"/>
    </row>
    <row r="9" spans="1:6" ht="14.25" x14ac:dyDescent="0.2">
      <c r="A9" s="59" t="s">
        <v>10</v>
      </c>
      <c r="B9" s="192">
        <v>20.87</v>
      </c>
      <c r="C9" s="192"/>
      <c r="D9" s="193" t="s">
        <v>11</v>
      </c>
      <c r="E9" s="193"/>
      <c r="F9" s="15" t="s">
        <v>99</v>
      </c>
    </row>
    <row r="10" spans="1:6" ht="14.25" x14ac:dyDescent="0.2">
      <c r="A10" s="59" t="s">
        <v>12</v>
      </c>
      <c r="B10" s="61"/>
      <c r="C10" s="62"/>
      <c r="D10" s="62"/>
      <c r="E10" s="62"/>
      <c r="F10" s="63"/>
    </row>
    <row r="11" spans="1:6" ht="14.25" x14ac:dyDescent="0.2">
      <c r="A11" s="194"/>
      <c r="B11" s="195"/>
      <c r="C11" s="195"/>
      <c r="D11" s="195"/>
      <c r="E11" s="195"/>
      <c r="F11" s="196"/>
    </row>
    <row r="12" spans="1:6" ht="15.75" customHeight="1" x14ac:dyDescent="0.25">
      <c r="A12" s="197" t="s">
        <v>13</v>
      </c>
      <c r="B12" s="198"/>
      <c r="C12" s="198"/>
      <c r="D12" s="198"/>
      <c r="E12" s="198"/>
      <c r="F12" s="199"/>
    </row>
    <row r="13" spans="1:6" ht="15" customHeight="1" x14ac:dyDescent="0.2">
      <c r="A13" s="200" t="s">
        <v>101</v>
      </c>
      <c r="B13" s="201"/>
      <c r="C13" s="201"/>
      <c r="D13" s="201"/>
      <c r="E13" s="201"/>
      <c r="F13" s="202"/>
    </row>
    <row r="14" spans="1:6" ht="14.25" customHeight="1" x14ac:dyDescent="0.2">
      <c r="A14" s="203"/>
      <c r="B14" s="204"/>
      <c r="C14" s="204"/>
      <c r="D14" s="204"/>
      <c r="E14" s="204"/>
      <c r="F14" s="205"/>
    </row>
    <row r="15" spans="1:6" ht="14.25" customHeight="1" x14ac:dyDescent="0.2">
      <c r="A15" s="203"/>
      <c r="B15" s="204"/>
      <c r="C15" s="204"/>
      <c r="D15" s="204"/>
      <c r="E15" s="204"/>
      <c r="F15" s="205"/>
    </row>
    <row r="16" spans="1:6" ht="14.25" customHeight="1" x14ac:dyDescent="0.2">
      <c r="A16" s="203"/>
      <c r="B16" s="204"/>
      <c r="C16" s="204"/>
      <c r="D16" s="204"/>
      <c r="E16" s="204"/>
      <c r="F16" s="205"/>
    </row>
    <row r="17" spans="1:6" ht="14.25" customHeight="1" x14ac:dyDescent="0.2">
      <c r="A17" s="203"/>
      <c r="B17" s="204"/>
      <c r="C17" s="204"/>
      <c r="D17" s="204"/>
      <c r="E17" s="204"/>
      <c r="F17" s="205"/>
    </row>
    <row r="18" spans="1:6" ht="14.25" customHeight="1" x14ac:dyDescent="0.2">
      <c r="A18" s="206"/>
      <c r="B18" s="207"/>
      <c r="C18" s="207"/>
      <c r="D18" s="207"/>
      <c r="E18" s="207"/>
      <c r="F18" s="208"/>
    </row>
    <row r="19" spans="1:6" ht="15.75" x14ac:dyDescent="0.25">
      <c r="A19" s="64" t="s">
        <v>14</v>
      </c>
      <c r="B19" s="164" t="s">
        <v>5</v>
      </c>
      <c r="C19" s="188"/>
      <c r="D19" s="65"/>
      <c r="E19" s="188"/>
      <c r="F19" s="189"/>
    </row>
    <row r="20" spans="1:6" ht="14.25" x14ac:dyDescent="0.2">
      <c r="A20" s="119" t="s">
        <v>15</v>
      </c>
      <c r="B20" s="181" t="s">
        <v>16</v>
      </c>
      <c r="C20" s="182"/>
      <c r="D20" s="66" t="s">
        <v>128</v>
      </c>
      <c r="E20" s="67" t="s">
        <v>17</v>
      </c>
      <c r="F20" s="68" t="s">
        <v>18</v>
      </c>
    </row>
    <row r="21" spans="1:6" ht="14.25" customHeight="1" x14ac:dyDescent="0.2">
      <c r="A21" s="120"/>
      <c r="B21" s="183" t="s">
        <v>74</v>
      </c>
      <c r="C21" s="184"/>
      <c r="D21" s="69">
        <v>12</v>
      </c>
      <c r="E21" s="185" t="s">
        <v>116</v>
      </c>
      <c r="F21" s="70" t="s">
        <v>144</v>
      </c>
    </row>
    <row r="22" spans="1:6" ht="14.25" x14ac:dyDescent="0.2">
      <c r="A22" s="120"/>
      <c r="B22" s="122" t="s">
        <v>75</v>
      </c>
      <c r="C22" s="123"/>
      <c r="D22" s="71">
        <v>26</v>
      </c>
      <c r="E22" s="186"/>
      <c r="F22" s="70" t="s">
        <v>144</v>
      </c>
    </row>
    <row r="23" spans="1:6" ht="14.25" x14ac:dyDescent="0.2">
      <c r="A23" s="120"/>
      <c r="B23" s="122" t="s">
        <v>104</v>
      </c>
      <c r="C23" s="123"/>
      <c r="D23" s="71"/>
      <c r="E23" s="186"/>
      <c r="F23" s="72"/>
    </row>
    <row r="24" spans="1:6" ht="14.25" x14ac:dyDescent="0.2">
      <c r="A24" s="120"/>
      <c r="B24" s="122" t="s">
        <v>102</v>
      </c>
      <c r="C24" s="123"/>
      <c r="D24" s="71"/>
      <c r="E24" s="186"/>
      <c r="F24" s="72"/>
    </row>
    <row r="25" spans="1:6" ht="14.25" x14ac:dyDescent="0.2">
      <c r="A25" s="120"/>
      <c r="B25" s="122" t="s">
        <v>105</v>
      </c>
      <c r="C25" s="123"/>
      <c r="D25" s="71"/>
      <c r="E25" s="186"/>
      <c r="F25" s="72"/>
    </row>
    <row r="26" spans="1:6" ht="14.25" x14ac:dyDescent="0.2">
      <c r="A26" s="121"/>
      <c r="B26" s="122" t="s">
        <v>106</v>
      </c>
      <c r="C26" s="123"/>
      <c r="D26" s="73"/>
      <c r="E26" s="186"/>
      <c r="F26" s="72"/>
    </row>
    <row r="27" spans="1:6" ht="14.25" x14ac:dyDescent="0.2">
      <c r="A27" s="25"/>
      <c r="B27" s="158" t="s">
        <v>129</v>
      </c>
      <c r="C27" s="159"/>
      <c r="D27" s="74">
        <f>SUM(D21:D26)</f>
        <v>38</v>
      </c>
      <c r="E27" s="187"/>
      <c r="F27" s="75"/>
    </row>
    <row r="28" spans="1:6" ht="14.25" x14ac:dyDescent="0.2">
      <c r="A28" s="180" t="s">
        <v>19</v>
      </c>
      <c r="B28" s="181" t="s">
        <v>16</v>
      </c>
      <c r="C28" s="182"/>
      <c r="D28" s="66" t="s">
        <v>128</v>
      </c>
      <c r="E28" s="67" t="s">
        <v>17</v>
      </c>
      <c r="F28" s="68" t="s">
        <v>18</v>
      </c>
    </row>
    <row r="29" spans="1:6" ht="14.25" x14ac:dyDescent="0.2">
      <c r="A29" s="180"/>
      <c r="B29" s="122" t="s">
        <v>107</v>
      </c>
      <c r="C29" s="123"/>
      <c r="D29" s="69"/>
      <c r="E29" s="185" t="s">
        <v>117</v>
      </c>
      <c r="F29" s="70"/>
    </row>
    <row r="30" spans="1:6" ht="14.25" x14ac:dyDescent="0.2">
      <c r="A30" s="180"/>
      <c r="B30" s="122" t="s">
        <v>108</v>
      </c>
      <c r="C30" s="123"/>
      <c r="D30" s="71"/>
      <c r="E30" s="186"/>
      <c r="F30" s="72"/>
    </row>
    <row r="31" spans="1:6" ht="14.25" x14ac:dyDescent="0.2">
      <c r="A31" s="180"/>
      <c r="B31" s="122" t="s">
        <v>109</v>
      </c>
      <c r="C31" s="123"/>
      <c r="D31" s="71"/>
      <c r="E31" s="186"/>
      <c r="F31" s="72"/>
    </row>
    <row r="32" spans="1:6" ht="14.25" x14ac:dyDescent="0.2">
      <c r="A32" s="180"/>
      <c r="B32" s="122" t="s">
        <v>110</v>
      </c>
      <c r="C32" s="123"/>
      <c r="D32" s="71"/>
      <c r="E32" s="186"/>
      <c r="F32" s="72"/>
    </row>
    <row r="33" spans="1:6" ht="14.25" x14ac:dyDescent="0.2">
      <c r="A33" s="180"/>
      <c r="B33" s="122" t="s">
        <v>111</v>
      </c>
      <c r="C33" s="123"/>
      <c r="D33" s="71"/>
      <c r="E33" s="186"/>
      <c r="F33" s="72"/>
    </row>
    <row r="34" spans="1:6" ht="14.25" x14ac:dyDescent="0.2">
      <c r="A34" s="180"/>
      <c r="B34" s="183"/>
      <c r="C34" s="184"/>
      <c r="D34" s="73"/>
      <c r="E34" s="186"/>
      <c r="F34" s="72"/>
    </row>
    <row r="35" spans="1:6" ht="14.25" x14ac:dyDescent="0.2">
      <c r="A35" s="25"/>
      <c r="B35" s="158" t="s">
        <v>130</v>
      </c>
      <c r="C35" s="159"/>
      <c r="D35" s="74">
        <f>SUM(D29:D34)</f>
        <v>0</v>
      </c>
      <c r="E35" s="187"/>
      <c r="F35" s="75"/>
    </row>
    <row r="36" spans="1:6" ht="14.25" x14ac:dyDescent="0.2">
      <c r="A36" s="180" t="s">
        <v>20</v>
      </c>
      <c r="B36" s="181" t="s">
        <v>16</v>
      </c>
      <c r="C36" s="182"/>
      <c r="D36" s="66" t="s">
        <v>128</v>
      </c>
      <c r="E36" s="67" t="s">
        <v>17</v>
      </c>
      <c r="F36" s="68" t="s">
        <v>18</v>
      </c>
    </row>
    <row r="37" spans="1:6" ht="14.25" x14ac:dyDescent="0.2">
      <c r="A37" s="180"/>
      <c r="B37" s="183" t="s">
        <v>112</v>
      </c>
      <c r="C37" s="184"/>
      <c r="D37" s="69"/>
      <c r="E37" s="185" t="s">
        <v>118</v>
      </c>
      <c r="F37" s="70"/>
    </row>
    <row r="38" spans="1:6" ht="14.25" x14ac:dyDescent="0.2">
      <c r="A38" s="180"/>
      <c r="B38" s="183" t="s">
        <v>113</v>
      </c>
      <c r="C38" s="184"/>
      <c r="D38" s="71"/>
      <c r="E38" s="186"/>
      <c r="F38" s="72"/>
    </row>
    <row r="39" spans="1:6" ht="14.25" x14ac:dyDescent="0.2">
      <c r="A39" s="180"/>
      <c r="B39" s="183" t="s">
        <v>114</v>
      </c>
      <c r="C39" s="184"/>
      <c r="D39" s="71"/>
      <c r="E39" s="186"/>
      <c r="F39" s="72"/>
    </row>
    <row r="40" spans="1:6" ht="14.25" x14ac:dyDescent="0.2">
      <c r="A40" s="180"/>
      <c r="B40" s="183" t="s">
        <v>103</v>
      </c>
      <c r="C40" s="184"/>
      <c r="D40" s="71"/>
      <c r="E40" s="186"/>
      <c r="F40" s="72"/>
    </row>
    <row r="41" spans="1:6" ht="14.25" x14ac:dyDescent="0.2">
      <c r="A41" s="180"/>
      <c r="B41" s="183" t="s">
        <v>115</v>
      </c>
      <c r="C41" s="184"/>
      <c r="D41" s="73"/>
      <c r="E41" s="186"/>
      <c r="F41" s="72"/>
    </row>
    <row r="42" spans="1:6" ht="14.25" x14ac:dyDescent="0.2">
      <c r="A42" s="25"/>
      <c r="B42" s="158" t="s">
        <v>131</v>
      </c>
      <c r="C42" s="159"/>
      <c r="D42" s="74">
        <f>SUM(D37:D41)</f>
        <v>0</v>
      </c>
      <c r="E42" s="24"/>
      <c r="F42" s="76"/>
    </row>
    <row r="43" spans="1:6" s="2" customFormat="1" ht="14.25" x14ac:dyDescent="0.2">
      <c r="A43" s="160"/>
      <c r="B43" s="161"/>
      <c r="C43" s="161"/>
      <c r="D43" s="161"/>
      <c r="E43" s="161"/>
      <c r="F43" s="162"/>
    </row>
    <row r="44" spans="1:6" ht="19.5" customHeight="1" x14ac:dyDescent="0.25">
      <c r="A44" s="163" t="s">
        <v>21</v>
      </c>
      <c r="B44" s="164"/>
      <c r="C44" s="77" t="s">
        <v>22</v>
      </c>
      <c r="D44" s="165" t="s">
        <v>23</v>
      </c>
      <c r="E44" s="166"/>
      <c r="F44" s="167"/>
    </row>
    <row r="45" spans="1:6" ht="14.25" x14ac:dyDescent="0.2">
      <c r="A45" s="13" t="s">
        <v>24</v>
      </c>
      <c r="B45" s="78"/>
      <c r="C45" s="55" t="s">
        <v>25</v>
      </c>
      <c r="D45" s="168" t="s">
        <v>26</v>
      </c>
      <c r="E45" s="169"/>
      <c r="F45" s="170"/>
    </row>
    <row r="46" spans="1:6" ht="14.25" x14ac:dyDescent="0.2">
      <c r="A46" s="13" t="s">
        <v>27</v>
      </c>
      <c r="B46" s="78"/>
      <c r="C46" s="54" t="s">
        <v>127</v>
      </c>
      <c r="D46" s="171"/>
      <c r="E46" s="172"/>
      <c r="F46" s="173"/>
    </row>
    <row r="47" spans="1:6" ht="14.25" x14ac:dyDescent="0.2">
      <c r="A47" s="13" t="s">
        <v>28</v>
      </c>
      <c r="B47" s="78"/>
      <c r="C47" s="54" t="s">
        <v>125</v>
      </c>
      <c r="D47" s="171"/>
      <c r="E47" s="172"/>
      <c r="F47" s="173"/>
    </row>
    <row r="48" spans="1:6" ht="14.25" x14ac:dyDescent="0.2">
      <c r="A48" s="13" t="s">
        <v>29</v>
      </c>
      <c r="B48" s="78"/>
      <c r="C48" s="54" t="s">
        <v>30</v>
      </c>
      <c r="D48" s="171"/>
      <c r="E48" s="172"/>
      <c r="F48" s="173"/>
    </row>
    <row r="49" spans="1:6" ht="14.25" x14ac:dyDescent="0.2">
      <c r="A49" s="13" t="s">
        <v>31</v>
      </c>
      <c r="B49" s="78"/>
      <c r="C49" s="54" t="s">
        <v>126</v>
      </c>
      <c r="D49" s="174"/>
      <c r="E49" s="175"/>
      <c r="F49" s="176"/>
    </row>
    <row r="50" spans="1:6" ht="14.25" x14ac:dyDescent="0.2">
      <c r="A50" s="13" t="s">
        <v>32</v>
      </c>
      <c r="B50" s="78"/>
      <c r="C50" s="4" t="s">
        <v>33</v>
      </c>
      <c r="D50" s="177" t="s">
        <v>34</v>
      </c>
      <c r="E50" s="178"/>
      <c r="F50" s="179"/>
    </row>
    <row r="51" spans="1:6" ht="14.25" x14ac:dyDescent="0.2">
      <c r="A51" s="13" t="s">
        <v>35</v>
      </c>
      <c r="B51" s="78"/>
      <c r="C51" s="56" t="s">
        <v>123</v>
      </c>
      <c r="D51" s="150" t="s">
        <v>119</v>
      </c>
      <c r="E51" s="151"/>
      <c r="F51" s="152"/>
    </row>
    <row r="52" spans="1:6" ht="14.25" x14ac:dyDescent="0.2">
      <c r="A52" s="13" t="s">
        <v>36</v>
      </c>
      <c r="B52" s="78"/>
      <c r="C52" s="56" t="s">
        <v>124</v>
      </c>
      <c r="D52" s="150" t="s">
        <v>122</v>
      </c>
      <c r="E52" s="151"/>
      <c r="F52" s="152"/>
    </row>
    <row r="53" spans="1:6" ht="14.25" x14ac:dyDescent="0.2">
      <c r="A53" s="13" t="s">
        <v>37</v>
      </c>
      <c r="B53" s="78"/>
      <c r="C53" s="56" t="s">
        <v>121</v>
      </c>
      <c r="D53" s="150" t="s">
        <v>120</v>
      </c>
      <c r="E53" s="151"/>
      <c r="F53" s="152"/>
    </row>
    <row r="54" spans="1:6" ht="14.25" x14ac:dyDescent="0.2">
      <c r="A54" s="13" t="s">
        <v>38</v>
      </c>
      <c r="B54" s="78"/>
      <c r="C54" s="56"/>
      <c r="D54" s="150"/>
      <c r="E54" s="151"/>
      <c r="F54" s="152"/>
    </row>
    <row r="55" spans="1:6" ht="14.25" x14ac:dyDescent="0.2">
      <c r="A55" s="153"/>
      <c r="B55" s="154"/>
      <c r="C55" s="154"/>
      <c r="D55" s="154"/>
      <c r="E55" s="154"/>
      <c r="F55" s="155"/>
    </row>
    <row r="56" spans="1:6" ht="15.75" x14ac:dyDescent="0.2">
      <c r="A56" s="124" t="s">
        <v>132</v>
      </c>
      <c r="B56" s="156"/>
      <c r="C56" s="156"/>
      <c r="D56" s="156"/>
      <c r="E56" s="156"/>
      <c r="F56" s="157"/>
    </row>
    <row r="57" spans="1:6" ht="14.25" x14ac:dyDescent="0.2">
      <c r="A57" s="139" t="s">
        <v>133</v>
      </c>
      <c r="B57" s="139"/>
      <c r="C57" s="139"/>
      <c r="D57" s="139"/>
      <c r="E57" s="139"/>
      <c r="F57" s="79" t="s">
        <v>128</v>
      </c>
    </row>
    <row r="58" spans="1:6" ht="14.25" x14ac:dyDescent="0.2">
      <c r="A58" s="140"/>
      <c r="B58" s="140"/>
      <c r="C58" s="140"/>
      <c r="D58" s="140"/>
      <c r="E58" s="140"/>
      <c r="F58" s="80"/>
    </row>
    <row r="59" spans="1:6" ht="14.25" x14ac:dyDescent="0.2">
      <c r="A59" s="140"/>
      <c r="B59" s="140"/>
      <c r="C59" s="140"/>
      <c r="D59" s="140"/>
      <c r="E59" s="140"/>
      <c r="F59" s="81"/>
    </row>
    <row r="60" spans="1:6" ht="14.25" x14ac:dyDescent="0.2">
      <c r="A60" s="82"/>
      <c r="B60" s="83"/>
      <c r="C60" s="141" t="s">
        <v>134</v>
      </c>
      <c r="D60" s="142"/>
      <c r="E60" s="143"/>
      <c r="F60" s="84">
        <f>SUM(F58:F59)</f>
        <v>0</v>
      </c>
    </row>
    <row r="61" spans="1:6" ht="14.25" x14ac:dyDescent="0.2">
      <c r="A61" s="144"/>
      <c r="B61" s="145"/>
      <c r="C61" s="145"/>
      <c r="D61" s="145"/>
      <c r="E61" s="145"/>
      <c r="F61" s="146"/>
    </row>
    <row r="62" spans="1:6" s="3" customFormat="1" ht="21.75" customHeight="1" x14ac:dyDescent="0.2">
      <c r="A62" s="27" t="s">
        <v>135</v>
      </c>
      <c r="B62" s="26"/>
      <c r="C62" s="26"/>
      <c r="D62" s="26"/>
      <c r="E62" s="26"/>
      <c r="F62" s="28"/>
    </row>
    <row r="63" spans="1:6" s="3" customFormat="1" ht="21.75" customHeight="1" x14ac:dyDescent="0.2">
      <c r="A63" s="16" t="s">
        <v>44</v>
      </c>
      <c r="B63" s="7" t="s">
        <v>45</v>
      </c>
      <c r="C63" s="7" t="s">
        <v>46</v>
      </c>
      <c r="D63" s="8" t="s">
        <v>47</v>
      </c>
      <c r="E63" s="85" t="s">
        <v>48</v>
      </c>
      <c r="F63" s="86" t="s">
        <v>49</v>
      </c>
    </row>
    <row r="64" spans="1:6" ht="14.25" x14ac:dyDescent="0.2">
      <c r="A64" s="17" t="s">
        <v>50</v>
      </c>
      <c r="B64" s="9" t="s">
        <v>51</v>
      </c>
      <c r="C64" s="9"/>
      <c r="D64" s="10"/>
      <c r="E64" s="87"/>
      <c r="F64" s="88">
        <f>D64*E64</f>
        <v>0</v>
      </c>
    </row>
    <row r="65" spans="1:7" ht="14.25" x14ac:dyDescent="0.2">
      <c r="A65" s="17" t="s">
        <v>52</v>
      </c>
      <c r="B65" s="9" t="s">
        <v>53</v>
      </c>
      <c r="C65" s="9"/>
      <c r="D65" s="10"/>
      <c r="E65" s="87"/>
      <c r="F65" s="88">
        <f t="shared" ref="F65:F71" si="0">D65*E65</f>
        <v>0</v>
      </c>
    </row>
    <row r="66" spans="1:7" ht="14.25" x14ac:dyDescent="0.2">
      <c r="A66" s="17" t="s">
        <v>54</v>
      </c>
      <c r="B66" s="9" t="s">
        <v>55</v>
      </c>
      <c r="C66" s="9"/>
      <c r="D66" s="10"/>
      <c r="E66" s="87"/>
      <c r="F66" s="88">
        <f t="shared" si="0"/>
        <v>0</v>
      </c>
    </row>
    <row r="67" spans="1:7" ht="14.25" x14ac:dyDescent="0.2">
      <c r="A67" s="18" t="s">
        <v>56</v>
      </c>
      <c r="B67" s="9" t="s">
        <v>57</v>
      </c>
      <c r="C67" s="9"/>
      <c r="D67" s="10"/>
      <c r="E67" s="87"/>
      <c r="F67" s="88">
        <f t="shared" si="0"/>
        <v>0</v>
      </c>
    </row>
    <row r="68" spans="1:7" ht="14.25" x14ac:dyDescent="0.2">
      <c r="A68" s="18" t="s">
        <v>58</v>
      </c>
      <c r="B68" s="9" t="s">
        <v>59</v>
      </c>
      <c r="C68" s="9"/>
      <c r="D68" s="10"/>
      <c r="E68" s="87"/>
      <c r="F68" s="88">
        <f t="shared" si="0"/>
        <v>0</v>
      </c>
    </row>
    <row r="69" spans="1:7" ht="14.25" x14ac:dyDescent="0.2">
      <c r="A69" s="18" t="s">
        <v>60</v>
      </c>
      <c r="B69" s="9" t="s">
        <v>61</v>
      </c>
      <c r="C69" s="9"/>
      <c r="D69" s="10"/>
      <c r="E69" s="87"/>
      <c r="F69" s="88">
        <f t="shared" si="0"/>
        <v>0</v>
      </c>
    </row>
    <row r="70" spans="1:7" ht="14.25" x14ac:dyDescent="0.2">
      <c r="A70" s="17" t="s">
        <v>62</v>
      </c>
      <c r="B70" s="9" t="s">
        <v>63</v>
      </c>
      <c r="C70" s="9"/>
      <c r="D70" s="10"/>
      <c r="E70" s="87"/>
      <c r="F70" s="88">
        <f t="shared" si="0"/>
        <v>0</v>
      </c>
    </row>
    <row r="71" spans="1:7" ht="14.25" x14ac:dyDescent="0.2">
      <c r="A71" s="19" t="s">
        <v>64</v>
      </c>
      <c r="B71" s="11"/>
      <c r="C71" s="12"/>
      <c r="D71" s="89"/>
      <c r="E71" s="87"/>
      <c r="F71" s="88">
        <f t="shared" si="0"/>
        <v>0</v>
      </c>
    </row>
    <row r="72" spans="1:7" ht="15" customHeight="1" x14ac:dyDescent="0.2">
      <c r="A72" s="31"/>
      <c r="B72" s="30"/>
      <c r="C72" s="29"/>
      <c r="D72" s="32"/>
      <c r="E72" s="90" t="s">
        <v>65</v>
      </c>
      <c r="F72" s="91">
        <f>SUM(F64:F71)</f>
        <v>0</v>
      </c>
    </row>
    <row r="73" spans="1:7" ht="14.25" x14ac:dyDescent="0.2">
      <c r="A73" s="147"/>
      <c r="B73" s="148"/>
      <c r="C73" s="148"/>
      <c r="D73" s="148"/>
      <c r="E73" s="148"/>
      <c r="F73" s="149"/>
    </row>
    <row r="74" spans="1:7" s="3" customFormat="1" ht="21.75" customHeight="1" x14ac:dyDescent="0.2">
      <c r="A74" s="124" t="s">
        <v>136</v>
      </c>
      <c r="B74" s="125"/>
      <c r="C74" s="125"/>
      <c r="D74" s="125"/>
      <c r="E74" s="125"/>
      <c r="F74" s="126"/>
    </row>
    <row r="75" spans="1:7" s="3" customFormat="1" ht="21.75" customHeight="1" x14ac:dyDescent="0.2">
      <c r="A75" s="127" t="s">
        <v>137</v>
      </c>
      <c r="B75" s="128"/>
      <c r="C75" s="128"/>
      <c r="D75" s="128"/>
      <c r="E75" s="128"/>
      <c r="F75" s="129"/>
    </row>
    <row r="76" spans="1:7" ht="14.25" x14ac:dyDescent="0.2">
      <c r="A76" s="92" t="s">
        <v>39</v>
      </c>
      <c r="B76" s="93" t="s">
        <v>138</v>
      </c>
      <c r="C76" s="94" t="s">
        <v>139</v>
      </c>
      <c r="D76" s="95" t="s">
        <v>140</v>
      </c>
      <c r="E76" s="96" t="s">
        <v>40</v>
      </c>
      <c r="F76" s="97" t="s">
        <v>41</v>
      </c>
    </row>
    <row r="77" spans="1:7" ht="14.25" x14ac:dyDescent="0.2">
      <c r="A77" s="98" t="s">
        <v>15</v>
      </c>
      <c r="B77" s="99">
        <f>B9</f>
        <v>20.87</v>
      </c>
      <c r="C77" s="100">
        <f>D27</f>
        <v>38</v>
      </c>
      <c r="D77" s="101">
        <f>B77*C77</f>
        <v>793.06000000000006</v>
      </c>
      <c r="E77" s="102">
        <v>500</v>
      </c>
      <c r="F77" s="103">
        <f>D77-E77</f>
        <v>293.06000000000006</v>
      </c>
    </row>
    <row r="78" spans="1:7" ht="14.25" x14ac:dyDescent="0.2">
      <c r="A78" s="98" t="s">
        <v>19</v>
      </c>
      <c r="B78" s="99">
        <f>B9</f>
        <v>20.87</v>
      </c>
      <c r="C78" s="100">
        <f>D35</f>
        <v>0</v>
      </c>
      <c r="D78" s="101">
        <f t="shared" ref="D78:D80" si="1">B78*C78</f>
        <v>0</v>
      </c>
      <c r="E78" s="102"/>
      <c r="F78" s="103">
        <f t="shared" ref="F78:F81" si="2">D78-E78</f>
        <v>0</v>
      </c>
      <c r="G78" s="104"/>
    </row>
    <row r="79" spans="1:7" ht="14.25" x14ac:dyDescent="0.2">
      <c r="A79" s="105" t="s">
        <v>20</v>
      </c>
      <c r="B79" s="106">
        <f>B9</f>
        <v>20.87</v>
      </c>
      <c r="C79" s="107">
        <f>D42</f>
        <v>0</v>
      </c>
      <c r="D79" s="108">
        <f t="shared" si="1"/>
        <v>0</v>
      </c>
      <c r="E79" s="109"/>
      <c r="F79" s="110">
        <f t="shared" si="2"/>
        <v>0</v>
      </c>
    </row>
    <row r="80" spans="1:7" ht="15" customHeight="1" x14ac:dyDescent="0.2">
      <c r="A80" s="111" t="s">
        <v>141</v>
      </c>
      <c r="B80" s="112">
        <f>B9</f>
        <v>20.87</v>
      </c>
      <c r="C80" s="113">
        <f>F60</f>
        <v>0</v>
      </c>
      <c r="D80" s="114">
        <f t="shared" si="1"/>
        <v>0</v>
      </c>
      <c r="E80" s="114"/>
      <c r="F80" s="114">
        <f t="shared" si="2"/>
        <v>0</v>
      </c>
    </row>
    <row r="81" spans="1:6" ht="15" customHeight="1" x14ac:dyDescent="0.2">
      <c r="A81" s="111" t="s">
        <v>66</v>
      </c>
      <c r="B81" s="112" t="s">
        <v>142</v>
      </c>
      <c r="C81" s="113" t="s">
        <v>143</v>
      </c>
      <c r="D81" s="114">
        <f>F72</f>
        <v>0</v>
      </c>
      <c r="E81" s="114"/>
      <c r="F81" s="114">
        <f t="shared" si="2"/>
        <v>0</v>
      </c>
    </row>
    <row r="82" spans="1:6" ht="15" customHeight="1" x14ac:dyDescent="0.2">
      <c r="A82" s="115" t="s">
        <v>42</v>
      </c>
      <c r="B82" s="115"/>
      <c r="C82" s="116">
        <f>SUM(C77:C80)</f>
        <v>38</v>
      </c>
      <c r="D82" s="117">
        <f>SUM(D77:D81)</f>
        <v>793.06000000000006</v>
      </c>
      <c r="E82" s="117">
        <f>SUM(E77:E80)</f>
        <v>500</v>
      </c>
      <c r="F82" s="117">
        <f>SUM(F77:F81)</f>
        <v>293.06000000000006</v>
      </c>
    </row>
    <row r="83" spans="1:6" ht="15" customHeight="1" x14ac:dyDescent="0.2">
      <c r="A83" s="118"/>
      <c r="B83" s="118"/>
      <c r="C83" s="118"/>
      <c r="D83" s="118"/>
      <c r="E83" s="118"/>
      <c r="F83" s="118"/>
    </row>
    <row r="84" spans="1:6" ht="15" customHeight="1" x14ac:dyDescent="0.2">
      <c r="A84" s="118"/>
      <c r="B84" s="118"/>
      <c r="C84" s="118"/>
      <c r="D84" s="118"/>
      <c r="E84" s="118"/>
      <c r="F84" s="118"/>
    </row>
    <row r="85" spans="1:6" ht="15" customHeight="1" x14ac:dyDescent="0.2">
      <c r="A85" s="130" t="s">
        <v>43</v>
      </c>
      <c r="B85" s="131"/>
      <c r="C85" s="131"/>
      <c r="D85" s="131"/>
      <c r="E85" s="131"/>
      <c r="F85" s="132"/>
    </row>
    <row r="86" spans="1:6" ht="14.25" x14ac:dyDescent="0.2">
      <c r="A86" s="133"/>
      <c r="B86" s="134"/>
      <c r="C86" s="134"/>
      <c r="D86" s="134"/>
      <c r="E86" s="134"/>
      <c r="F86" s="135"/>
    </row>
    <row r="87" spans="1:6" ht="14.25" x14ac:dyDescent="0.2">
      <c r="A87" s="133"/>
      <c r="B87" s="134"/>
      <c r="C87" s="134"/>
      <c r="D87" s="134"/>
      <c r="E87" s="134"/>
      <c r="F87" s="135"/>
    </row>
    <row r="88" spans="1:6" ht="14.25" x14ac:dyDescent="0.2">
      <c r="A88" s="133"/>
      <c r="B88" s="134"/>
      <c r="C88" s="134"/>
      <c r="D88" s="134"/>
      <c r="E88" s="134"/>
      <c r="F88" s="135"/>
    </row>
    <row r="89" spans="1:6" ht="14.25" x14ac:dyDescent="0.2">
      <c r="A89" s="133"/>
      <c r="B89" s="134"/>
      <c r="C89" s="134"/>
      <c r="D89" s="134"/>
      <c r="E89" s="134"/>
      <c r="F89" s="135"/>
    </row>
    <row r="90" spans="1:6" ht="14.25" x14ac:dyDescent="0.2">
      <c r="A90" s="133"/>
      <c r="B90" s="134"/>
      <c r="C90" s="134"/>
      <c r="D90" s="134"/>
      <c r="E90" s="134"/>
      <c r="F90" s="135"/>
    </row>
    <row r="91" spans="1:6" ht="15" customHeight="1" x14ac:dyDescent="0.2">
      <c r="A91" s="133"/>
      <c r="B91" s="134"/>
      <c r="C91" s="134"/>
      <c r="D91" s="134"/>
      <c r="E91" s="134"/>
      <c r="F91" s="135"/>
    </row>
    <row r="92" spans="1:6" ht="15" customHeight="1" x14ac:dyDescent="0.2">
      <c r="A92" s="133"/>
      <c r="B92" s="134"/>
      <c r="C92" s="134"/>
      <c r="D92" s="134"/>
      <c r="E92" s="134"/>
      <c r="F92" s="135"/>
    </row>
    <row r="93" spans="1:6" ht="15" customHeight="1" x14ac:dyDescent="0.2">
      <c r="A93" s="133"/>
      <c r="B93" s="134"/>
      <c r="C93" s="134"/>
      <c r="D93" s="134"/>
      <c r="E93" s="134"/>
      <c r="F93" s="135"/>
    </row>
    <row r="94" spans="1:6" ht="15" customHeight="1" x14ac:dyDescent="0.2">
      <c r="A94" s="133"/>
      <c r="B94" s="134"/>
      <c r="C94" s="134"/>
      <c r="D94" s="134"/>
      <c r="E94" s="134"/>
      <c r="F94" s="135"/>
    </row>
    <row r="95" spans="1:6" ht="15" customHeight="1" x14ac:dyDescent="0.2">
      <c r="A95" s="133"/>
      <c r="B95" s="134"/>
      <c r="C95" s="134"/>
      <c r="D95" s="134"/>
      <c r="E95" s="134"/>
      <c r="F95" s="135"/>
    </row>
    <row r="96" spans="1:6" ht="15" customHeight="1" x14ac:dyDescent="0.2">
      <c r="A96" s="133"/>
      <c r="B96" s="134"/>
      <c r="C96" s="134"/>
      <c r="D96" s="134"/>
      <c r="E96" s="134"/>
      <c r="F96" s="135"/>
    </row>
    <row r="97" spans="1:6" ht="15" customHeight="1" x14ac:dyDescent="0.2">
      <c r="A97" s="133"/>
      <c r="B97" s="134"/>
      <c r="C97" s="134"/>
      <c r="D97" s="134"/>
      <c r="E97" s="134"/>
      <c r="F97" s="135"/>
    </row>
    <row r="98" spans="1:6" ht="15" customHeight="1" x14ac:dyDescent="0.2">
      <c r="A98" s="133"/>
      <c r="B98" s="134"/>
      <c r="C98" s="134"/>
      <c r="D98" s="134"/>
      <c r="E98" s="134"/>
      <c r="F98" s="135"/>
    </row>
    <row r="99" spans="1:6" ht="15" customHeight="1" x14ac:dyDescent="0.2">
      <c r="A99" s="133"/>
      <c r="B99" s="134"/>
      <c r="C99" s="134"/>
      <c r="D99" s="134"/>
      <c r="E99" s="134"/>
      <c r="F99" s="135"/>
    </row>
    <row r="100" spans="1:6" ht="15" customHeight="1" x14ac:dyDescent="0.2">
      <c r="A100" s="133"/>
      <c r="B100" s="134"/>
      <c r="C100" s="134"/>
      <c r="D100" s="134"/>
      <c r="E100" s="134"/>
      <c r="F100" s="135"/>
    </row>
    <row r="101" spans="1:6" ht="15" customHeight="1" x14ac:dyDescent="0.2">
      <c r="A101" s="133"/>
      <c r="B101" s="134"/>
      <c r="C101" s="134"/>
      <c r="D101" s="134"/>
      <c r="E101" s="134"/>
      <c r="F101" s="135"/>
    </row>
    <row r="102" spans="1:6" ht="15" customHeight="1" x14ac:dyDescent="0.2">
      <c r="A102" s="133"/>
      <c r="B102" s="134"/>
      <c r="C102" s="134"/>
      <c r="D102" s="134"/>
      <c r="E102" s="134"/>
      <c r="F102" s="135"/>
    </row>
    <row r="103" spans="1:6" ht="15" customHeight="1" x14ac:dyDescent="0.2">
      <c r="A103" s="133"/>
      <c r="B103" s="134"/>
      <c r="C103" s="134"/>
      <c r="D103" s="134"/>
      <c r="E103" s="134"/>
      <c r="F103" s="135"/>
    </row>
    <row r="104" spans="1:6" ht="15" customHeight="1" x14ac:dyDescent="0.2">
      <c r="A104" s="136"/>
      <c r="B104" s="137"/>
      <c r="C104" s="137"/>
      <c r="D104" s="137"/>
      <c r="E104" s="137"/>
      <c r="F104" s="138"/>
    </row>
  </sheetData>
  <mergeCells count="64">
    <mergeCell ref="A13:F18"/>
    <mergeCell ref="A1:F1"/>
    <mergeCell ref="A2:F3"/>
    <mergeCell ref="B4:F4"/>
    <mergeCell ref="B5:F5"/>
    <mergeCell ref="B6:F6"/>
    <mergeCell ref="B7:C7"/>
    <mergeCell ref="E7:F7"/>
    <mergeCell ref="E8:F8"/>
    <mergeCell ref="B9:C9"/>
    <mergeCell ref="D9:E9"/>
    <mergeCell ref="A11:F11"/>
    <mergeCell ref="A12:F12"/>
    <mergeCell ref="B19:C19"/>
    <mergeCell ref="E19:F19"/>
    <mergeCell ref="B20:C20"/>
    <mergeCell ref="B21:C21"/>
    <mergeCell ref="E21:E27"/>
    <mergeCell ref="B22:C22"/>
    <mergeCell ref="B24:C24"/>
    <mergeCell ref="B25:C25"/>
    <mergeCell ref="B26:C26"/>
    <mergeCell ref="B27:C27"/>
    <mergeCell ref="A28:A34"/>
    <mergeCell ref="B28:C28"/>
    <mergeCell ref="B29:C29"/>
    <mergeCell ref="E29:E35"/>
    <mergeCell ref="B30:C30"/>
    <mergeCell ref="B32:C32"/>
    <mergeCell ref="B33:C33"/>
    <mergeCell ref="B34:C34"/>
    <mergeCell ref="B35:C35"/>
    <mergeCell ref="D50:F50"/>
    <mergeCell ref="A36:A41"/>
    <mergeCell ref="B36:C36"/>
    <mergeCell ref="B37:C37"/>
    <mergeCell ref="E37:E41"/>
    <mergeCell ref="B38:C38"/>
    <mergeCell ref="B39:C39"/>
    <mergeCell ref="B40:C40"/>
    <mergeCell ref="B41:C41"/>
    <mergeCell ref="A85:F104"/>
    <mergeCell ref="A57:E57"/>
    <mergeCell ref="A58:E58"/>
    <mergeCell ref="A59:E59"/>
    <mergeCell ref="C60:E60"/>
    <mergeCell ref="A61:F61"/>
    <mergeCell ref="A73:F73"/>
    <mergeCell ref="A20:A26"/>
    <mergeCell ref="B23:C23"/>
    <mergeCell ref="B31:C31"/>
    <mergeCell ref="A74:F74"/>
    <mergeCell ref="A75:F75"/>
    <mergeCell ref="D51:F51"/>
    <mergeCell ref="D52:F52"/>
    <mergeCell ref="D53:F53"/>
    <mergeCell ref="D54:F54"/>
    <mergeCell ref="A55:F55"/>
    <mergeCell ref="A56:F56"/>
    <mergeCell ref="B42:C42"/>
    <mergeCell ref="A43:F43"/>
    <mergeCell ref="A44:B44"/>
    <mergeCell ref="D44:F44"/>
    <mergeCell ref="D45:F49"/>
  </mergeCells>
  <pageMargins left="0.25" right="0.25" top="0.75" bottom="0.75" header="0.3" footer="0.3"/>
  <pageSetup paperSize="9" scale="6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1</xdr:col>
                    <xdr:colOff>523875</xdr:colOff>
                    <xdr:row>43</xdr:row>
                    <xdr:rowOff>219075</xdr:rowOff>
                  </from>
                  <to>
                    <xdr:col>2</xdr:col>
                    <xdr:colOff>66675</xdr:colOff>
                    <xdr:row>45</xdr:row>
                    <xdr:rowOff>38100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xdr:col>
                    <xdr:colOff>523875</xdr:colOff>
                    <xdr:row>44</xdr:row>
                    <xdr:rowOff>142875</xdr:rowOff>
                  </from>
                  <to>
                    <xdr:col>2</xdr:col>
                    <xdr:colOff>57150</xdr:colOff>
                    <xdr:row>46</xdr:row>
                    <xdr:rowOff>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xdr:col>
                    <xdr:colOff>523875</xdr:colOff>
                    <xdr:row>46</xdr:row>
                    <xdr:rowOff>171450</xdr:rowOff>
                  </from>
                  <to>
                    <xdr:col>2</xdr:col>
                    <xdr:colOff>66675</xdr:colOff>
                    <xdr:row>48</xdr:row>
                    <xdr:rowOff>9525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xdr:col>
                    <xdr:colOff>523875</xdr:colOff>
                    <xdr:row>47</xdr:row>
                    <xdr:rowOff>152400</xdr:rowOff>
                  </from>
                  <to>
                    <xdr:col>2</xdr:col>
                    <xdr:colOff>57150</xdr:colOff>
                    <xdr:row>49</xdr:row>
                    <xdr:rowOff>0</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1</xdr:col>
                    <xdr:colOff>523875</xdr:colOff>
                    <xdr:row>48</xdr:row>
                    <xdr:rowOff>171450</xdr:rowOff>
                  </from>
                  <to>
                    <xdr:col>2</xdr:col>
                    <xdr:colOff>57150</xdr:colOff>
                    <xdr:row>50</xdr:row>
                    <xdr:rowOff>9525</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xdr:col>
                    <xdr:colOff>523875</xdr:colOff>
                    <xdr:row>49</xdr:row>
                    <xdr:rowOff>171450</xdr:rowOff>
                  </from>
                  <to>
                    <xdr:col>2</xdr:col>
                    <xdr:colOff>57150</xdr:colOff>
                    <xdr:row>51</xdr:row>
                    <xdr:rowOff>9525</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xdr:col>
                    <xdr:colOff>523875</xdr:colOff>
                    <xdr:row>50</xdr:row>
                    <xdr:rowOff>171450</xdr:rowOff>
                  </from>
                  <to>
                    <xdr:col>2</xdr:col>
                    <xdr:colOff>57150</xdr:colOff>
                    <xdr:row>52</xdr:row>
                    <xdr:rowOff>9525</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1</xdr:col>
                    <xdr:colOff>533400</xdr:colOff>
                    <xdr:row>51</xdr:row>
                    <xdr:rowOff>161925</xdr:rowOff>
                  </from>
                  <to>
                    <xdr:col>2</xdr:col>
                    <xdr:colOff>57150</xdr:colOff>
                    <xdr:row>53</xdr:row>
                    <xdr:rowOff>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1</xdr:col>
                    <xdr:colOff>523875</xdr:colOff>
                    <xdr:row>52</xdr:row>
                    <xdr:rowOff>152400</xdr:rowOff>
                  </from>
                  <to>
                    <xdr:col>2</xdr:col>
                    <xdr:colOff>57150</xdr:colOff>
                    <xdr:row>54</xdr:row>
                    <xdr:rowOff>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xdr:col>
                    <xdr:colOff>523875</xdr:colOff>
                    <xdr:row>45</xdr:row>
                    <xdr:rowOff>161925</xdr:rowOff>
                  </from>
                  <to>
                    <xdr:col>2</xdr:col>
                    <xdr:colOff>66675</xdr:colOff>
                    <xdr:row>47</xdr:row>
                    <xdr:rowOff>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1</xdr:col>
                    <xdr:colOff>809625</xdr:colOff>
                    <xdr:row>7</xdr:row>
                    <xdr:rowOff>9525</xdr:rowOff>
                  </from>
                  <to>
                    <xdr:col>1</xdr:col>
                    <xdr:colOff>971550</xdr:colOff>
                    <xdr:row>8</xdr:row>
                    <xdr:rowOff>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2</xdr:col>
                    <xdr:colOff>857250</xdr:colOff>
                    <xdr:row>6</xdr:row>
                    <xdr:rowOff>171450</xdr:rowOff>
                  </from>
                  <to>
                    <xdr:col>2</xdr:col>
                    <xdr:colOff>1552575</xdr:colOff>
                    <xdr:row>8</xdr:row>
                    <xdr:rowOff>9525</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xdr:col>
                    <xdr:colOff>57150</xdr:colOff>
                    <xdr:row>8</xdr:row>
                    <xdr:rowOff>171450</xdr:rowOff>
                  </from>
                  <to>
                    <xdr:col>1</xdr:col>
                    <xdr:colOff>219075</xdr:colOff>
                    <xdr:row>9</xdr:row>
                    <xdr:rowOff>161925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D26" sqref="D26"/>
    </sheetView>
  </sheetViews>
  <sheetFormatPr defaultColWidth="8.85546875" defaultRowHeight="15" x14ac:dyDescent="0.25"/>
  <cols>
    <col min="1" max="1" width="6.28515625" style="41" customWidth="1"/>
    <col min="2" max="2" width="43.7109375" style="22" customWidth="1"/>
    <col min="3" max="3" width="25.7109375" style="22" customWidth="1"/>
    <col min="4" max="4" width="41.85546875" style="22" customWidth="1"/>
    <col min="5" max="5" width="34.28515625" style="22" customWidth="1"/>
    <col min="6" max="6" width="9.85546875" style="22" customWidth="1"/>
    <col min="7" max="7" width="10.7109375" style="22" customWidth="1"/>
    <col min="8" max="8" width="16.28515625" style="46" customWidth="1"/>
    <col min="9" max="9" width="16.85546875" style="22" customWidth="1"/>
    <col min="10" max="16384" width="8.85546875" style="22"/>
  </cols>
  <sheetData>
    <row r="1" spans="1:11" ht="22.9" customHeight="1" x14ac:dyDescent="0.25">
      <c r="A1" s="47" t="s">
        <v>70</v>
      </c>
      <c r="B1" s="39" t="s">
        <v>67</v>
      </c>
      <c r="C1" s="38" t="s">
        <v>76</v>
      </c>
      <c r="D1" s="39" t="s">
        <v>68</v>
      </c>
      <c r="E1" s="48" t="s">
        <v>78</v>
      </c>
      <c r="F1" s="39" t="s">
        <v>69</v>
      </c>
      <c r="G1" s="49" t="s">
        <v>79</v>
      </c>
      <c r="H1" s="45" t="s">
        <v>80</v>
      </c>
      <c r="I1" s="20"/>
      <c r="J1" s="20"/>
      <c r="K1" s="21"/>
    </row>
    <row r="2" spans="1:11" ht="16.899999999999999" customHeight="1" x14ac:dyDescent="0.25">
      <c r="A2" s="40">
        <v>1</v>
      </c>
      <c r="B2" s="43" t="s">
        <v>81</v>
      </c>
      <c r="C2" s="36" t="s">
        <v>82</v>
      </c>
      <c r="D2" s="36" t="s">
        <v>83</v>
      </c>
      <c r="E2" s="44" t="s">
        <v>84</v>
      </c>
      <c r="F2" s="37">
        <v>1</v>
      </c>
      <c r="G2" s="37">
        <v>10.65</v>
      </c>
      <c r="H2" s="50">
        <f>F2*G2</f>
        <v>10.65</v>
      </c>
      <c r="I2" s="23"/>
      <c r="J2" s="23"/>
      <c r="K2" s="21"/>
    </row>
    <row r="3" spans="1:11" ht="16.899999999999999" customHeight="1" x14ac:dyDescent="0.25">
      <c r="A3" s="40">
        <v>2</v>
      </c>
      <c r="B3" s="37" t="s">
        <v>85</v>
      </c>
      <c r="C3" s="36" t="s">
        <v>86</v>
      </c>
      <c r="D3" s="36" t="s">
        <v>87</v>
      </c>
      <c r="E3" s="44" t="s">
        <v>84</v>
      </c>
      <c r="F3" s="37">
        <v>1</v>
      </c>
      <c r="G3" s="37">
        <v>6.93</v>
      </c>
      <c r="H3" s="50">
        <f t="shared" ref="H3:H5" si="0">F3*G3</f>
        <v>6.93</v>
      </c>
      <c r="I3" s="23"/>
      <c r="J3" s="23"/>
      <c r="K3" s="21"/>
    </row>
    <row r="4" spans="1:11" ht="16.899999999999999" customHeight="1" x14ac:dyDescent="0.25">
      <c r="A4" s="40">
        <v>3</v>
      </c>
      <c r="B4" s="37" t="s">
        <v>88</v>
      </c>
      <c r="C4" s="36" t="s">
        <v>89</v>
      </c>
      <c r="D4" s="36" t="s">
        <v>90</v>
      </c>
      <c r="E4" s="44" t="s">
        <v>84</v>
      </c>
      <c r="F4" s="37">
        <v>1</v>
      </c>
      <c r="G4" s="37">
        <v>9.33</v>
      </c>
      <c r="H4" s="50">
        <f t="shared" si="0"/>
        <v>9.33</v>
      </c>
      <c r="I4" s="23"/>
      <c r="J4" s="23"/>
      <c r="K4" s="21"/>
    </row>
    <row r="5" spans="1:11" ht="16.899999999999999" customHeight="1" x14ac:dyDescent="0.25">
      <c r="A5" s="40">
        <v>4</v>
      </c>
      <c r="B5" s="43" t="s">
        <v>91</v>
      </c>
      <c r="C5" s="36" t="s">
        <v>92</v>
      </c>
      <c r="D5" s="36" t="s">
        <v>93</v>
      </c>
      <c r="E5" s="44" t="s">
        <v>84</v>
      </c>
      <c r="F5" s="37">
        <v>1</v>
      </c>
      <c r="G5" s="37">
        <v>19.690000000000001</v>
      </c>
      <c r="H5" s="50">
        <f t="shared" si="0"/>
        <v>19.690000000000001</v>
      </c>
      <c r="I5" s="23"/>
      <c r="J5" s="23"/>
      <c r="K5" s="21"/>
    </row>
    <row r="6" spans="1:11" ht="16.899999999999999" customHeight="1" x14ac:dyDescent="0.25">
      <c r="A6" s="40">
        <v>5</v>
      </c>
      <c r="B6" s="51" t="s">
        <v>94</v>
      </c>
      <c r="C6" s="42" t="s">
        <v>95</v>
      </c>
      <c r="D6" s="36" t="s">
        <v>96</v>
      </c>
      <c r="E6" s="44" t="s">
        <v>84</v>
      </c>
      <c r="F6" s="37">
        <v>1</v>
      </c>
      <c r="G6" s="42">
        <v>4.25</v>
      </c>
      <c r="H6" s="52">
        <f>F6*G6</f>
        <v>4.25</v>
      </c>
    </row>
    <row r="8" spans="1:11" ht="15.4" customHeight="1" x14ac:dyDescent="0.25">
      <c r="D8" s="222" t="s">
        <v>77</v>
      </c>
      <c r="E8" s="222"/>
      <c r="F8" s="222"/>
      <c r="G8" s="222"/>
      <c r="H8" s="223">
        <f>SUM(H2:H6)</f>
        <v>50.849999999999994</v>
      </c>
    </row>
    <row r="9" spans="1:11" ht="14.65" customHeight="1" x14ac:dyDescent="0.25">
      <c r="D9" s="222"/>
      <c r="E9" s="222"/>
      <c r="F9" s="222"/>
      <c r="G9" s="222"/>
      <c r="H9" s="223"/>
    </row>
    <row r="11" spans="1:11" x14ac:dyDescent="0.25">
      <c r="B11" s="38"/>
      <c r="C11" s="38"/>
      <c r="E11" s="38"/>
    </row>
    <row r="12" spans="1:11" x14ac:dyDescent="0.25">
      <c r="B12" s="37"/>
    </row>
    <row r="13" spans="1:11" ht="15.75" thickBot="1" x14ac:dyDescent="0.3">
      <c r="B13" s="37"/>
    </row>
    <row r="14" spans="1:11" ht="15.75" thickBot="1" x14ac:dyDescent="0.3">
      <c r="B14" s="33" t="s">
        <v>71</v>
      </c>
    </row>
    <row r="15" spans="1:11" ht="15.75" thickBot="1" x14ac:dyDescent="0.3">
      <c r="B15" s="34" t="s">
        <v>72</v>
      </c>
    </row>
    <row r="16" spans="1:11" ht="15.75" thickBot="1" x14ac:dyDescent="0.3">
      <c r="B16" s="35" t="s">
        <v>73</v>
      </c>
    </row>
    <row r="17" spans="2:7" x14ac:dyDescent="0.25">
      <c r="B17" s="37"/>
    </row>
    <row r="18" spans="2:7" x14ac:dyDescent="0.25">
      <c r="B18" s="38"/>
      <c r="C18" s="38"/>
      <c r="D18" s="38"/>
      <c r="E18" s="38"/>
      <c r="F18" s="38"/>
      <c r="G18" s="38"/>
    </row>
    <row r="19" spans="2:7" x14ac:dyDescent="0.25">
      <c r="B19" s="37"/>
      <c r="C19" s="37"/>
      <c r="E19" s="37"/>
      <c r="F19" s="37"/>
      <c r="G19" s="37"/>
    </row>
    <row r="20" spans="2:7" x14ac:dyDescent="0.25">
      <c r="B20" s="37"/>
      <c r="C20" s="37"/>
      <c r="E20" s="37"/>
      <c r="F20" s="37"/>
      <c r="G20" s="37"/>
    </row>
    <row r="21" spans="2:7" x14ac:dyDescent="0.25">
      <c r="B21" s="37"/>
      <c r="C21" s="37"/>
      <c r="E21" s="37"/>
      <c r="F21" s="37"/>
      <c r="G21" s="37"/>
    </row>
    <row r="22" spans="2:7" x14ac:dyDescent="0.25">
      <c r="B22" s="37"/>
      <c r="C22" s="37"/>
      <c r="D22"/>
      <c r="E22" s="37"/>
      <c r="F22" s="37"/>
      <c r="G22" s="37"/>
    </row>
    <row r="23" spans="2:7" x14ac:dyDescent="0.25">
      <c r="B23" s="37"/>
      <c r="C23" s="37"/>
      <c r="D23"/>
      <c r="E23" s="37"/>
      <c r="F23" s="37"/>
      <c r="G23" s="37"/>
    </row>
    <row r="24" spans="2:7" x14ac:dyDescent="0.25">
      <c r="B24" s="37"/>
      <c r="C24" s="37"/>
      <c r="D24" s="44"/>
      <c r="E24" s="37"/>
      <c r="F24" s="37"/>
      <c r="G24" s="37"/>
    </row>
    <row r="25" spans="2:7" x14ac:dyDescent="0.25">
      <c r="B25" s="37"/>
      <c r="C25" s="37"/>
      <c r="D25"/>
      <c r="E25" s="37"/>
      <c r="F25" s="37"/>
      <c r="G25" s="37"/>
    </row>
    <row r="26" spans="2:7" x14ac:dyDescent="0.25">
      <c r="B26" s="37"/>
      <c r="C26" s="37"/>
      <c r="D26"/>
      <c r="E26" s="37"/>
      <c r="F26" s="37"/>
      <c r="G26" s="37"/>
    </row>
    <row r="27" spans="2:7" x14ac:dyDescent="0.25">
      <c r="B27" s="37"/>
      <c r="C27" s="37"/>
      <c r="D27" s="44"/>
      <c r="E27" s="37"/>
      <c r="F27" s="37"/>
      <c r="G27" s="37"/>
    </row>
    <row r="28" spans="2:7" x14ac:dyDescent="0.25">
      <c r="B28" s="37"/>
      <c r="C28" s="37"/>
      <c r="D28"/>
      <c r="E28" s="37"/>
      <c r="F28" s="37"/>
      <c r="G28" s="37"/>
    </row>
    <row r="29" spans="2:7" x14ac:dyDescent="0.25">
      <c r="B29" s="37"/>
      <c r="C29" s="37"/>
      <c r="D29"/>
      <c r="E29" s="37"/>
      <c r="F29" s="37"/>
      <c r="G29" s="37"/>
    </row>
    <row r="30" spans="2:7" x14ac:dyDescent="0.25">
      <c r="B30" s="37"/>
      <c r="C30" s="37"/>
      <c r="E30" s="37"/>
      <c r="F30" s="37"/>
      <c r="G30" s="37"/>
    </row>
    <row r="31" spans="2:7" x14ac:dyDescent="0.25">
      <c r="B31" s="37"/>
      <c r="C31" s="37"/>
      <c r="E31" s="37"/>
      <c r="F31" s="37"/>
      <c r="G31" s="37"/>
    </row>
    <row r="32" spans="2:7" x14ac:dyDescent="0.25">
      <c r="B32" s="37"/>
      <c r="C32" s="37"/>
      <c r="E32" s="37"/>
      <c r="F32" s="37"/>
      <c r="G32" s="37"/>
    </row>
    <row r="33" spans="1:7" x14ac:dyDescent="0.25">
      <c r="B33" s="37"/>
      <c r="C33" s="37"/>
      <c r="E33" s="37"/>
      <c r="F33" s="37"/>
      <c r="G33" s="37"/>
    </row>
    <row r="34" spans="1:7" x14ac:dyDescent="0.25">
      <c r="A34" s="41">
        <v>1</v>
      </c>
      <c r="E34" s="37"/>
      <c r="F34" s="37"/>
      <c r="G34" s="37"/>
    </row>
    <row r="35" spans="1:7" x14ac:dyDescent="0.25">
      <c r="A35" s="41">
        <v>2</v>
      </c>
      <c r="E35" s="37"/>
      <c r="F35" s="37"/>
      <c r="G35" s="37"/>
    </row>
    <row r="36" spans="1:7" x14ac:dyDescent="0.25">
      <c r="A36" s="41">
        <v>3</v>
      </c>
      <c r="E36" s="37"/>
      <c r="F36" s="37"/>
      <c r="G36" s="37"/>
    </row>
    <row r="37" spans="1:7" x14ac:dyDescent="0.25">
      <c r="A37" s="41">
        <v>4</v>
      </c>
      <c r="E37" s="37"/>
      <c r="F37" s="37"/>
      <c r="G37" s="37"/>
    </row>
    <row r="38" spans="1:7" x14ac:dyDescent="0.25">
      <c r="A38" s="41">
        <v>5</v>
      </c>
      <c r="E38" s="37"/>
      <c r="F38" s="37"/>
      <c r="G38" s="37"/>
    </row>
    <row r="39" spans="1:7" x14ac:dyDescent="0.25">
      <c r="A39" s="41">
        <v>6</v>
      </c>
      <c r="E39" s="37"/>
      <c r="F39" s="37"/>
      <c r="G39" s="37"/>
    </row>
    <row r="40" spans="1:7" x14ac:dyDescent="0.25">
      <c r="A40" s="41">
        <v>7</v>
      </c>
      <c r="E40" s="37"/>
      <c r="F40" s="37"/>
      <c r="G40" s="37"/>
    </row>
    <row r="41" spans="1:7" x14ac:dyDescent="0.25">
      <c r="A41" s="41">
        <v>8</v>
      </c>
      <c r="E41" s="37"/>
      <c r="F41" s="37"/>
      <c r="G41" s="37"/>
    </row>
    <row r="42" spans="1:7" x14ac:dyDescent="0.25">
      <c r="A42" s="41">
        <v>9</v>
      </c>
      <c r="E42" s="37"/>
      <c r="F42" s="37"/>
      <c r="G42" s="37"/>
    </row>
    <row r="43" spans="1:7" x14ac:dyDescent="0.25">
      <c r="A43" s="41">
        <v>10</v>
      </c>
    </row>
    <row r="44" spans="1:7" x14ac:dyDescent="0.25">
      <c r="A44" s="41">
        <v>11</v>
      </c>
    </row>
    <row r="45" spans="1:7" x14ac:dyDescent="0.25">
      <c r="A45" s="41">
        <v>12</v>
      </c>
    </row>
    <row r="46" spans="1:7" x14ac:dyDescent="0.25">
      <c r="A46" s="41">
        <v>13</v>
      </c>
    </row>
    <row r="47" spans="1:7" x14ac:dyDescent="0.25">
      <c r="A47" s="41">
        <v>14</v>
      </c>
    </row>
    <row r="48" spans="1:7" x14ac:dyDescent="0.25">
      <c r="A48" s="41">
        <v>15</v>
      </c>
    </row>
    <row r="49" spans="1:1" x14ac:dyDescent="0.25">
      <c r="A49" s="41">
        <v>16</v>
      </c>
    </row>
    <row r="50" spans="1:1" x14ac:dyDescent="0.25">
      <c r="A50" s="41">
        <v>17</v>
      </c>
    </row>
    <row r="51" spans="1:1" x14ac:dyDescent="0.25">
      <c r="A51" s="41">
        <v>18</v>
      </c>
    </row>
    <row r="52" spans="1:1" x14ac:dyDescent="0.25">
      <c r="A52" s="41">
        <v>19</v>
      </c>
    </row>
    <row r="53" spans="1:1" x14ac:dyDescent="0.25">
      <c r="A53" s="41">
        <v>20</v>
      </c>
    </row>
    <row r="54" spans="1:1" x14ac:dyDescent="0.25">
      <c r="A54" s="41">
        <v>21</v>
      </c>
    </row>
    <row r="55" spans="1:1" x14ac:dyDescent="0.25">
      <c r="A55" s="41">
        <v>22</v>
      </c>
    </row>
    <row r="56" spans="1:1" x14ac:dyDescent="0.25">
      <c r="A56" s="41">
        <v>23</v>
      </c>
    </row>
    <row r="57" spans="1:1" x14ac:dyDescent="0.25">
      <c r="A57" s="41">
        <v>24</v>
      </c>
    </row>
    <row r="58" spans="1:1" x14ac:dyDescent="0.25">
      <c r="A58" s="41">
        <v>25</v>
      </c>
    </row>
    <row r="59" spans="1:1" x14ac:dyDescent="0.25">
      <c r="A59" s="41">
        <v>26</v>
      </c>
    </row>
    <row r="60" spans="1:1" x14ac:dyDescent="0.25">
      <c r="A60" s="41">
        <v>27</v>
      </c>
    </row>
    <row r="61" spans="1:1" x14ac:dyDescent="0.25">
      <c r="A61" s="41">
        <v>28</v>
      </c>
    </row>
  </sheetData>
  <mergeCells count="2">
    <mergeCell ref="D8:G9"/>
    <mergeCell ref="H8:H9"/>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B25" sqref="B25"/>
    </sheetView>
  </sheetViews>
  <sheetFormatPr defaultColWidth="9.140625" defaultRowHeight="15" customHeight="1" x14ac:dyDescent="0.2"/>
  <cols>
    <col min="1" max="1" width="37.42578125" style="1" customWidth="1"/>
    <col min="2" max="2" width="17.85546875" style="1" customWidth="1"/>
    <col min="3" max="3" width="35.28515625" style="1" customWidth="1"/>
    <col min="4" max="4" width="19.85546875" style="1" customWidth="1"/>
    <col min="5" max="5" width="15.42578125" style="1" customWidth="1"/>
    <col min="6" max="6" width="20" style="1" customWidth="1"/>
    <col min="7" max="16384" width="9.140625" style="1"/>
  </cols>
  <sheetData>
    <row r="1" spans="1:9" ht="14.25" x14ac:dyDescent="0.2">
      <c r="A1" s="224" t="s">
        <v>97</v>
      </c>
      <c r="B1" s="224"/>
      <c r="C1" s="224"/>
      <c r="D1" s="224"/>
      <c r="E1" s="224"/>
      <c r="F1" s="224"/>
    </row>
    <row r="2" spans="1:9" ht="14.25" x14ac:dyDescent="0.2">
      <c r="A2" s="53"/>
      <c r="B2" s="53"/>
      <c r="C2" s="53"/>
      <c r="D2" s="53"/>
      <c r="E2" s="53"/>
      <c r="F2" s="53"/>
      <c r="I2" s="1">
        <v>2</v>
      </c>
    </row>
    <row r="3" spans="1:9" ht="14.25" x14ac:dyDescent="0.2">
      <c r="A3" s="53"/>
      <c r="B3" s="53"/>
      <c r="C3" s="53"/>
      <c r="D3" s="53"/>
      <c r="E3" s="53"/>
      <c r="F3" s="53"/>
    </row>
  </sheetData>
  <mergeCells count="1">
    <mergeCell ref="A1:F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Plant Monitoring Sensor Network</vt:lpstr>
      <vt:lpstr>Component List</vt:lpstr>
      <vt:lpstr>Additional Project Details</vt:lpstr>
      <vt:lpstr>'Plant Monitoring Sensor Network'!Print_Area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 i7</cp:lastModifiedBy>
  <cp:revision/>
  <cp:lastPrinted>2025-11-08T20:58:09Z</cp:lastPrinted>
  <dcterms:created xsi:type="dcterms:W3CDTF">2025-07-30T18:47:13Z</dcterms:created>
  <dcterms:modified xsi:type="dcterms:W3CDTF">2025-11-08T21:03:23Z</dcterms:modified>
  <cp:category/>
  <cp:contentStatus/>
</cp:coreProperties>
</file>